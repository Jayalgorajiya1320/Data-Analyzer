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b585efe30035fa4c/Desktop/Excel/Projects/Project - 2/"/>
    </mc:Choice>
  </mc:AlternateContent>
  <xr:revisionPtr revIDLastSave="83" documentId="13_ncr:10000001_{EB085CF3-806A-420A-9B70-73F63035C1F7}" xr6:coauthVersionLast="47" xr6:coauthVersionMax="47" xr10:uidLastSave="{3121421D-2118-4F11-8A64-CF72D060005B}"/>
  <bookViews>
    <workbookView xWindow="-108" yWindow="-108" windowWidth="23256" windowHeight="12456" firstSheet="6" activeTab="10" xr2:uid="{17437089-568D-428E-A81D-797258FBF77F}"/>
  </bookViews>
  <sheets>
    <sheet name="Dataset" sheetId="1" r:id="rId1"/>
    <sheet name="Q-1 Conditional Formating" sheetId="2" r:id="rId2"/>
    <sheet name="Q-2 What if analysis" sheetId="3" r:id="rId3"/>
    <sheet name="Q-3 Linear Regression" sheetId="4" r:id="rId4"/>
    <sheet name="Q-4 Descriptive Statistics" sheetId="5" r:id="rId5"/>
    <sheet name="Q-5 Monthly Sales Growth" sheetId="9" r:id="rId6"/>
    <sheet name="Q-6 Now()" sheetId="10" r:id="rId7"/>
    <sheet name="Q-7 High Value Customer" sheetId="11" r:id="rId8"/>
    <sheet name="Q-8 Pivot Table" sheetId="14" r:id="rId9"/>
    <sheet name="Q-9 Pivot Chart" sheetId="16" r:id="rId10"/>
    <sheet name="Q-10 Dashboard" sheetId="18" r:id="rId11"/>
  </sheets>
  <definedNames>
    <definedName name="Slicer_Months__Order_Date">#N/A</definedName>
    <definedName name="Slicer_Product_Category">#N/A</definedName>
    <definedName name="Slicer_Regi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0" i="11" l="1"/>
  <c r="P30" i="11"/>
  <c r="O30" i="11"/>
  <c r="N3" i="11" a="1"/>
  <c r="N3" i="11" s="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2" i="11"/>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 i="10"/>
  <c r="J201" i="10"/>
  <c r="J200" i="10"/>
  <c r="J199" i="10"/>
  <c r="J198" i="10"/>
  <c r="J197" i="10"/>
  <c r="J196" i="10"/>
  <c r="J195" i="10"/>
  <c r="J194" i="10"/>
  <c r="J193" i="10"/>
  <c r="J192" i="10"/>
  <c r="J191" i="10"/>
  <c r="J190" i="10"/>
  <c r="J189" i="10"/>
  <c r="J188" i="10"/>
  <c r="J187" i="10"/>
  <c r="J186" i="10"/>
  <c r="J185" i="10"/>
  <c r="J184" i="10"/>
  <c r="J183" i="10"/>
  <c r="J182" i="10"/>
  <c r="J181" i="10"/>
  <c r="J180" i="10"/>
  <c r="J179" i="10"/>
  <c r="J178" i="10"/>
  <c r="J177" i="10"/>
  <c r="J176" i="10"/>
  <c r="J175" i="10"/>
  <c r="J174" i="10"/>
  <c r="J173" i="10"/>
  <c r="J172" i="10"/>
  <c r="J171" i="10"/>
  <c r="J170" i="10"/>
  <c r="J169" i="10"/>
  <c r="J168" i="10"/>
  <c r="J167" i="10"/>
  <c r="J166" i="10"/>
  <c r="J165" i="10"/>
  <c r="J164" i="10"/>
  <c r="J163" i="10"/>
  <c r="J162" i="10"/>
  <c r="J161" i="10"/>
  <c r="J160" i="10"/>
  <c r="J159" i="10"/>
  <c r="J158" i="10"/>
  <c r="J157" i="10"/>
  <c r="J156" i="10"/>
  <c r="J155" i="10"/>
  <c r="J154" i="10"/>
  <c r="J153" i="10"/>
  <c r="J152" i="10"/>
  <c r="J151" i="10"/>
  <c r="J150" i="10"/>
  <c r="J149" i="10"/>
  <c r="J148" i="10"/>
  <c r="J147" i="10"/>
  <c r="J146" i="10"/>
  <c r="J145" i="10"/>
  <c r="J144" i="10"/>
  <c r="J143" i="10"/>
  <c r="J142" i="10"/>
  <c r="J141" i="10"/>
  <c r="J140" i="10"/>
  <c r="J139" i="10"/>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J2" i="10"/>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 i="9"/>
  <c r="N13" i="3" l="1"/>
  <c r="N12" i="3"/>
  <c r="N11" i="3"/>
  <c r="N10" i="3"/>
  <c r="N9" i="3"/>
  <c r="N8" i="3"/>
  <c r="M4" i="3"/>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<sst xmlns="http://schemas.openxmlformats.org/spreadsheetml/2006/main" count="6614" uniqueCount="162">
  <si>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</si>
  <si>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</si>
  <si>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</si>
  <si>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</si>
  <si>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</si>
  <si>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</si>
  <si>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</si>
  <si>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</si>
  <si>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</si>
  <si>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</si>
  <si>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</si>
  <si>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</si>
  <si>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</si>
  <si>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</si>
  <si>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</si>
  <si>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</si>
  <si>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</si>
  <si>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</si>
  <si>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</si>
  <si>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</si>
  <si>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</si>
  <si>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</si>
  <si>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</si>
  <si>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</si>
  <si>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</si>
  <si>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</si>
  <si>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</si>
  <si>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</si>
  <si>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</si>
  <si>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</si>
  <si>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</si>
  <si>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</si>
  <si>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</si>
  <si>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</si>
  <si>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</si>
  <si>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</si>
  <si>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</si>
  <si>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</si>
  <si>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</si>
  <si>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</si>
  <si>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</si>
  <si>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</si>
  <si>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</si>
  <si>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</si>
  <si>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</si>
  <si>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</si>
  <si>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</si>
  <si>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</si>
  <si>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</si>
  <si>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</si>
  <si>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</si>
  <si>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</si>
  <si>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</si>
  <si>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</si>
  <si>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</si>
  <si>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</si>
  <si>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</si>
  <si>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</si>
  <si>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</si>
  <si>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</si>
  <si>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</si>
  <si>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</si>
  <si>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</si>
  <si>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</si>
  <si>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</si>
  <si>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</si>
  <si>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</si>
  <si>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</si>
  <si>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</si>
  <si>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</si>
  <si>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</si>
  <si>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</si>
  <si>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</si>
  <si>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</si>
  <si>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</si>
  <si>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</si>
  <si>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</si>
  <si>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Formula</t>
  </si>
  <si>
    <t>SUMIFS($E:$E,$A:$A,A2)</t>
  </si>
  <si>
    <t>Total</t>
  </si>
  <si>
    <t xml:space="preserve">Discount </t>
  </si>
  <si>
    <t>After Discount Profit</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</si>
  <si>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</si>
  <si>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</si>
  <si>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</si>
  <si>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</si>
  <si>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</si>
  <si>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</si>
  <si>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</si>
  <si>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</si>
  <si>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</si>
  <si>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</si>
  <si>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</si>
  <si>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</si>
  <si>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</si>
  <si>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</si>
  <si>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</si>
  <si>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</si>
  <si>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</si>
  <si>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</si>
  <si>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</si>
  <si>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</si>
  <si>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</si>
  <si>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</si>
  <si>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</si>
  <si>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</si>
  <si>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</si>
  <si>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</si>
  <si>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</si>
  <si>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</si>
  <si>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</si>
  <si>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</si>
  <si>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</si>
  <si>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</si>
  <si>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</si>
  <si>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</si>
  <si>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</si>
  <si>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Answer</t>
  </si>
  <si>
    <t xml:space="preserve">Steps: </t>
  </si>
  <si>
    <t>Data ke andar Data Analysis ka option ko cilck karke liear regression pe click karo.</t>
  </si>
  <si>
    <t>Largest(1)</t>
  </si>
  <si>
    <t>Smallest(1)</t>
  </si>
  <si>
    <t>Confidence Level(95.0%)</t>
  </si>
  <si>
    <t>Profilt</t>
  </si>
  <si>
    <t>Month</t>
  </si>
  <si>
    <t>Row Labels</t>
  </si>
  <si>
    <t>Grand Total</t>
  </si>
  <si>
    <t>Apr-2024</t>
  </si>
  <si>
    <t>Apr-2025</t>
  </si>
  <si>
    <t>Aug-2024</t>
  </si>
  <si>
    <t>Dec-2024</t>
  </si>
  <si>
    <t>Feb-2025</t>
  </si>
  <si>
    <t>Jan-2025</t>
  </si>
  <si>
    <t>Jul-2024</t>
  </si>
  <si>
    <t>Jun-2024</t>
  </si>
  <si>
    <t>Mar-2025</t>
  </si>
  <si>
    <t>May-2024</t>
  </si>
  <si>
    <t>Nov-2024</t>
  </si>
  <si>
    <t>Oct-2024</t>
  </si>
  <si>
    <t>Sep-2024</t>
  </si>
  <si>
    <t>Sum of Sales</t>
  </si>
  <si>
    <t>Sum of Sales2</t>
  </si>
  <si>
    <t>Time Strap</t>
  </si>
  <si>
    <t>Total Purchasy</t>
  </si>
  <si>
    <t>Top Customer Details</t>
  </si>
  <si>
    <t>Id</t>
  </si>
  <si>
    <t>Name</t>
  </si>
  <si>
    <t>Column Labels</t>
  </si>
  <si>
    <t>Jan</t>
  </si>
  <si>
    <t>Feb</t>
  </si>
  <si>
    <t>Mar</t>
  </si>
  <si>
    <t>Apr</t>
  </si>
  <si>
    <t>May</t>
  </si>
  <si>
    <t>Jun</t>
  </si>
  <si>
    <t>Jul</t>
  </si>
  <si>
    <t>Aug</t>
  </si>
  <si>
    <t>Sep</t>
  </si>
  <si>
    <t>Oct</t>
  </si>
  <si>
    <t>Nov</t>
  </si>
  <si>
    <t>Dec</t>
  </si>
  <si>
    <t>Project : Data Analyzer</t>
  </si>
  <si>
    <t>Name : Prajapati Kripal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</si>
</sst>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6"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xf numFmtId="0" fontId="2"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xf numFmtId="9" fontId="0" fillId="0" borderId="1" xfId="0" applyNumberFormat="1" applyBorder="1" applyAlignment="1">
      <alignment horizontal="center" vertical="center"/>
    </xf>
    <xf numFmtId="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5" borderId="1" xfId="0" applyFont="1" applyFill="1" applyBorder="1" applyAlignment="1">
      <alignment horizontal="center" vertical="center" wrapText="1"/>
    </xf>
    <xf numFmtId="9" fontId="1" fillId="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0" fontId="4" fillId="0" borderId="1" xfId="0" applyFont="1" applyBorder="1" applyAlignment="1">
      <alignment horizontal="center" vertical="center"/>
    </xf>
    <xf numFmtId="0" fontId="1" fillId="5"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1" xfId="0" pivotButton="1" applyBorder="1" applyAlignment="1">
      <alignment horizontal="center" vertical="center"/>
    </xf>
    <xf numFmtId="10" fontId="0" fillId="0" borderId="1" xfId="0" applyNumberFormat="1" applyBorder="1" applyAlignment="1">
      <alignment horizontal="center" vertical="center"/>
    </xf>
    <xf numFmtId="22" fontId="0" fillId="0" borderId="1" xfId="0" applyNumberFormat="1" applyBorder="1" applyAlignment="1">
      <alignment horizontal="center" vertical="center"/>
    </xf>
    <xf numFmtId="164" fontId="0" fillId="0" borderId="0" xfId="0" applyNumberFormat="1"/>
    <xf numFmtId="0" fontId="3" fillId="0" borderId="0" xfId="0" applyFont="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5" fillId="0" borderId="0" xfId="0" applyFont="1" applyAlignment="1">
      <alignment horizontal="center" vertical="center"/>
    </xf>
    <xf numFmtId="0" fontId="0" fillId="0" borderId="0" xfId="0" applyAlignment="1">
      <alignment vertical="center"/>
    </xf>
    <xf numFmtId="0" fontId="0" fillId="0" borderId="0" xfId="0" applyNumberFormat="1"/>
  </cellXfs>
  <cellStyles count="1">
    <cellStyle name="Normal" xfId="0" builtinId="0"/>
  </cellStyles>
  <dxfs count="6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on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8114541593827"/>
          <c:y val="0.19951099347741796"/>
          <c:w val="0.6937288858925641"/>
          <c:h val="0.69022563313357899"/>
        </c:manualLayout>
      </c:layout>
      <c:barChart>
        <c:barDir val="bar"/>
        <c:grouping val="clustered"/>
        <c:varyColors val="0"/>
        <c:ser>
          <c:idx val="0"/>
          <c:order val="0"/>
          <c:tx>
            <c:strRef>
              <c:f>'Q-9 Pivot Chart'!$B$4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'Q-9 Pivot Chart'!$A$5:$A$10</c:f>
              <c:strCache>
                <c:ptCount val="5"/>
                <c:pt idx="0">
                  <c:v>Central</c:v>
                </c:pt>
                <c:pt idx="1">
                  <c:v>East</c:v>
                </c:pt>
                <c:pt idx="2">
                  <c:v>North</c:v>
                </c:pt>
                <c:pt idx="3">
                  <c:v>South</c:v>
                </c:pt>
                <c:pt idx="4">
                  <c:v>West</c:v>
                </c:pt>
              </c:strCache>
            </c:strRef>
          </c:cat>
          <c:val>
            <c:numRef>
              <c:f>'Q-9 Pivot Chart'!$B$5:$B$10</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FBED-42BB-BE67-9772A56EBE71}"/>
            </c:ext>
          </c:extLst>
        </c:ser>
        <c:dLbls>
          <c:dLblPos val="inBase"/>
          <c:showLegendKey val="0"/>
          <c:showVal val="1"/>
          <c:showCatName val="0"/>
          <c:showSerName val="0"/>
          <c:showPercent val="0"/>
          <c:showBubbleSize val="0"/>
        </c:dLbls>
        <c:gapWidth val="65"/>
        <c:axId val="458899327"/>
        <c:axId val="458900287"/>
      </c:barChart>
      <c:catAx>
        <c:axId val="458899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8900287"/>
        <c:crosses val="autoZero"/>
        <c:auto val="1"/>
        <c:lblAlgn val="ctr"/>
        <c:lblOffset val="100"/>
        <c:noMultiLvlLbl val="0"/>
      </c:catAx>
      <c:valAx>
        <c:axId val="458900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8899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 Pivot Chart'!$B$20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'Q-9 Pivot Chart'!$A$21:$A$33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'Q-9 Pivot Chart'!$B$21:$B$33</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CC73-4B75-B09A-06BBBFB03300}"/>
            </c:ext>
          </c:extLst>
        </c:ser>
        <c:dLbls>
          <c:showLegendKey val="0"/>
          <c:showVal val="0"/>
          <c:showCatName val="0"/>
          <c:showSerName val="0"/>
          <c:showPercent val="0"/>
          <c:showBubbleSize val="0"/>
        </c:dLbls>
        <c:marker val="1"/>
        <c:smooth val="0"/>
        <c:axId val="314871967"/>
        <c:axId val="314872447"/>
      </c:lineChart>
      <c:catAx>
        <c:axId val="314871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2447"/>
        <c:crosses val="autoZero"/>
        <c:auto val="1"/>
        <c:lblAlgn val="ctr"/>
        <c:lblOffset val="100"/>
        <c:noMultiLvlLbl val="0"/>
      </c:catAx>
      <c:valAx>
        <c:axId val="31487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Contribution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'Q-9 Pivot Chart'!$B$38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6D-4C2F-BD05-9F76322865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6D-4C2F-BD05-9F76322865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6D-4C2F-BD05-9F76322865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6D-4C2F-BD05-9F76322865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6D-4C2F-BD05-9F7632286501}"/>
              </c:ext>
            </c:extLst>
          </c:dPt>
          <c:cat>
            <c:strRef>
              <c:f>'Q-9 Pivot Chart'!$A$39:$A$44</c:f>
              <c:strCache>
                <c:ptCount val="5"/>
                <c:pt idx="0">
                  <c:v>Books</c:v>
                </c:pt>
                <c:pt idx="1">
                  <c:v>Clothing</c:v>
                </c:pt>
                <c:pt idx="2">
                  <c:v>Electronics</c:v>
                </c:pt>
                <c:pt idx="3">
                  <c:v>Furniture</c:v>
                </c:pt>
                <c:pt idx="4">
                  <c:v>Office Supplies</c:v>
                </c:pt>
              </c:strCache>
            </c:strRef>
          </c:cat>
          <c:val>
            <c:numRef>
              <c:f>'Q-9 Pivot Chart'!$B$39:$B$44</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8C5-42FE-AB59-CF8A8715CC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on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8114541593827"/>
          <c:y val="0.19951099347741796"/>
          <c:w val="0.6937288858925641"/>
          <c:h val="0.69022563313357899"/>
        </c:manualLayout>
      </c:layout>
      <c:barChart>
        <c:barDir val="bar"/>
        <c:grouping val="clustered"/>
        <c:varyColors val="0"/>
        <c:ser>
          <c:idx val="0"/>
          <c:order val="0"/>
          <c:tx>
            <c:strRef>
              <c:f>'Q-9 Pivot Chart'!$B$4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'Q-9 Pivot Chart'!$A$5:$A$10</c:f>
              <c:strCache>
                <c:ptCount val="5"/>
                <c:pt idx="0">
                  <c:v>Central</c:v>
                </c:pt>
                <c:pt idx="1">
                  <c:v>East</c:v>
                </c:pt>
                <c:pt idx="2">
                  <c:v>North</c:v>
                </c:pt>
                <c:pt idx="3">
                  <c:v>South</c:v>
                </c:pt>
                <c:pt idx="4">
                  <c:v>West</c:v>
                </c:pt>
              </c:strCache>
            </c:strRef>
          </c:cat>
          <c:val>
            <c:numRef>
              <c:f>'Q-9 Pivot Chart'!$B$5:$B$10</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D81-4E6D-BF39-60069054995E}"/>
            </c:ext>
          </c:extLst>
        </c:ser>
        <c:dLbls>
          <c:dLblPos val="inBase"/>
          <c:showLegendKey val="0"/>
          <c:showVal val="1"/>
          <c:showCatName val="0"/>
          <c:showSerName val="0"/>
          <c:showPercent val="0"/>
          <c:showBubbleSize val="0"/>
        </c:dLbls>
        <c:gapWidth val="65"/>
        <c:axId val="458899327"/>
        <c:axId val="458900287"/>
      </c:barChart>
      <c:catAx>
        <c:axId val="458899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8900287"/>
        <c:crosses val="autoZero"/>
        <c:auto val="1"/>
        <c:lblAlgn val="ctr"/>
        <c:lblOffset val="100"/>
        <c:noMultiLvlLbl val="0"/>
      </c:catAx>
      <c:valAx>
        <c:axId val="458900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8899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Chart!PivotTable8</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 Pivot Chart'!$B$20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'Q-9 Pivot Chart'!$A$21:$A$33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'Q-9 Pivot Chart'!$B$21:$B$33</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2930-4027-AA5B-F8A8A9D02141}"/>
            </c:ext>
          </c:extLst>
        </c:ser>
        <c:dLbls>
          <c:showLegendKey val="0"/>
          <c:showVal val="0"/>
          <c:showCatName val="0"/>
          <c:showSerName val="0"/>
          <c:showPercent val="0"/>
          <c:showBubbleSize val="0"/>
        </c:dLbls>
        <c:marker val="1"/>
        <c:smooth val="0"/>
        <c:axId val="314871967"/>
        <c:axId val="314872447"/>
      </c:lineChart>
      <c:catAx>
        <c:axId val="314871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2447"/>
        <c:crosses val="autoZero"/>
        <c:auto val="1"/>
        <c:lblAlgn val="ctr"/>
        <c:lblOffset val="100"/>
        <c:noMultiLvlLbl val="0"/>
      </c:catAx>
      <c:valAx>
        <c:axId val="31487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[Analyzer.xlsx]Q-9 Pivot Chart!PivotTable10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Contribution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'Q-9 Pivot Chart'!$B$38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77-4956-9D2D-1F852CDF6B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77-4956-9D2D-1F852CDF6B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77-4956-9D2D-1F852CDF6B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77-4956-9D2D-1F852CDF6BD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77-4956-9D2D-1F852CDF6B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'Q-9 Pivot Chart'!$A$39:$A$44</c:f>
              <c:strCache>
                <c:ptCount val="5"/>
                <c:pt idx="0">
                  <c:v>Books</c:v>
                </c:pt>
                <c:pt idx="1">
                  <c:v>Clothing</c:v>
                </c:pt>
                <c:pt idx="2">
                  <c:v>Electronics</c:v>
                </c:pt>
                <c:pt idx="3">
                  <c:v>Furniture</c:v>
                </c:pt>
                <c:pt idx="4">
                  <c:v>Office Supplies</c:v>
                </c:pt>
              </c:strCache>
            </c:strRef>
          </c:cat>
          <c:val>
            <c:numRef>
              <c:f>'Q-9 Pivot Chart'!$B$39:$B$44</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4977-4956-9D2D-1F852CDF6BD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198120</xdr:colOff>
      <xdr:row>1</xdr:row>
      <xdr:rowOff>7620</xdr:rowOff>
    </xdr:from>
    <xdr:to>
      <xdr:col>9</xdr:col>
      <xdr:colOff>502920</xdr:colOff>
      <xdr:row>16</xdr:row>
      <xdr:rowOff>7620</xdr:rowOff>
    </xdr:to>
    <xdr:graphicFrame macro="">
      <xdr:nvGraphicFramePr>
        <xdr:cNvPr id="2" name="Chart 1">
          <a:extLst>
            <a:ext uri="{FF2B5EF4-FFF2-40B4-BE49-F238E27FC236}">
              <a16:creationId xmlns:a16="http://schemas.microsoft.com/office/drawing/2014/main" id="{A37190DE-4450-D522-08C3-EE348537F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177362</xdr:colOff>
      <xdr:row>19</xdr:row>
      <xdr:rowOff>34158</xdr:rowOff>
    </xdr:from>
    <xdr:to>
      <xdr:col>10</xdr:col>
      <xdr:colOff>518948</xdr:colOff>
      <xdr:row>34</xdr:row>
      <xdr:rowOff>18393</xdr:rowOff>
    </xdr:to>
    <xdr:graphicFrame macro="">
      <xdr:nvGraphicFramePr>
        <xdr:cNvPr id="3" name="Chart 2">
          <a:extLst>
            <a:ext uri="{FF2B5EF4-FFF2-40B4-BE49-F238E27FC236}">
              <a16:creationId xmlns:a16="http://schemas.microsoft.com/office/drawing/2014/main" id="{36EAC522-3E1F-D5DF-B772-DF5B3DA64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108856</xdr:colOff>
      <xdr:row>36</xdr:row>
      <xdr:rowOff>78180</xdr:rowOff>
    </xdr:from>
    <xdr:to>
      <xdr:col>11</xdr:col>
      <xdr:colOff>29687</xdr:colOff>
      <xdr:row>51</xdr:row>
      <xdr:rowOff>149432</xdr:rowOff>
    </xdr:to>
    <xdr:graphicFrame macro="">
      <xdr:nvGraphicFramePr>
        <xdr:cNvPr id="5" name="Chart 4">
          <a:extLst>
            <a:ext uri="{FF2B5EF4-FFF2-40B4-BE49-F238E27FC236}">
              <a16:creationId xmlns:a16="http://schemas.microsoft.com/office/drawing/2014/main" id="{F5306C0A-D50A-A7CF-2B01-704B00D10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254329</xdr:colOff>
      <xdr:row>0</xdr:row>
      <xdr:rowOff>140822</xdr:rowOff>
    </xdr:from>
    <xdr:to>
      <xdr:col>13</xdr:col>
      <xdr:colOff>242455</xdr:colOff>
      <xdr:row>14</xdr:row>
      <xdr:rowOff>113979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A9C1166-78DB-E338-2445-10056FA1DF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74823" y="1408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392875</xdr:colOff>
      <xdr:row>18</xdr:row>
      <xdr:rowOff>50570</xdr:rowOff>
    </xdr:from>
    <xdr:to>
      <xdr:col>14</xdr:col>
      <xdr:colOff>380999</xdr:colOff>
      <xdr:row>34</xdr:row>
      <xdr:rowOff>29690</xdr:rowOff>
    </xdr:to>
    <mc:AlternateContent xmlns:mc="http://schemas.openxmlformats.org/markup-compatibility/2006" xmlns:a14="http://schemas.microsoft.com/office/drawing/2010/main">
      <mc:Choice Requires="a14">
        <xdr:graphicFrame macro="">
          <xdr:nvGraphicFramePr>
            <xdr:cNvPr id="8" name="Months (Order_Date)">
              <a:extLst>
                <a:ext uri="{FF2B5EF4-FFF2-40B4-BE49-F238E27FC236}">
                  <a16:creationId xmlns:a16="http://schemas.microsoft.com/office/drawing/2014/main" id="{B31505D0-6965-B68B-A5E7-C800ED195FC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626927" y="3256908"/>
              <a:ext cx="1828800" cy="2829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6928</xdr:colOff>
      <xdr:row>36</xdr:row>
      <xdr:rowOff>151510</xdr:rowOff>
    </xdr:from>
    <xdr:to>
      <xdr:col>14</xdr:col>
      <xdr:colOff>608611</xdr:colOff>
      <xdr:row>50</xdr:row>
      <xdr:rowOff>124666</xdr:rowOff>
    </xdr:to>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AE097FF3-D4AD-D4AC-A04B-6E5D80FB4A4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854538" y="65641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402771</xdr:colOff>
      <xdr:row>1</xdr:row>
      <xdr:rowOff>61651</xdr:rowOff>
    </xdr:from>
    <xdr:to>
      <xdr:col>24</xdr:col>
      <xdr:colOff>458585</xdr:colOff>
      <xdr:row>11</xdr:row>
      <xdr:rowOff>130583</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CFFCB516-B339-A8AA-D9D3-8915C03D79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91057" y="239781"/>
              <a:ext cx="5577840" cy="1850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15241</xdr:colOff>
      <xdr:row>0</xdr:row>
      <xdr:rowOff>22860</xdr:rowOff>
    </xdr:from>
    <xdr:to>
      <xdr:col>18</xdr:col>
      <xdr:colOff>601580</xdr:colOff>
      <xdr:row>49</xdr:row>
      <xdr:rowOff>140369</xdr:rowOff>
    </xdr:to>
    <xdr:sp macro="" textlink="">
      <xdr:nvSpPr>
        <xdr:cNvPr id="2" name="Rectangle 1">
          <a:extLst>
            <a:ext uri="{FF2B5EF4-FFF2-40B4-BE49-F238E27FC236}">
              <a16:creationId xmlns:a16="http://schemas.microsoft.com/office/drawing/2014/main" id="{DBA0D8B0-1355-EA54-9310-D1F14CF685EB}"/>
            </a:ext>
          </a:extLst>
        </xdr:cNvPr>
        <xdr:cNvSpPr/>
      </xdr:nvSpPr>
      <xdr:spPr>
        <a:xfrm>
          <a:off x="15241" y="22860"/>
          <a:ext cx="11595234" cy="89607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a:solidFill>
                <a:schemeClr val="accent5"/>
              </a:solidFill>
            </a:rPr>
            <a:t>Sales</a:t>
          </a:r>
          <a:r>
            <a:rPr lang="en-IN" sz="1400" b="1"/>
            <a:t> </a:t>
          </a:r>
          <a:r>
            <a:rPr lang="en-IN" sz="1400" b="1">
              <a:solidFill>
                <a:schemeClr val="accent5"/>
              </a:solidFill>
            </a:rPr>
            <a:t>Performance</a:t>
          </a:r>
          <a:r>
            <a:rPr lang="en-IN" sz="1400" b="1" baseline="0"/>
            <a:t> </a:t>
          </a:r>
          <a:r>
            <a:rPr lang="en-IN" sz="1400" b="1" baseline="0">
              <a:solidFill>
                <a:schemeClr val="accent5"/>
              </a:solidFill>
            </a:rPr>
            <a:t>Dashboard</a:t>
          </a:r>
          <a:endParaRPr lang="en-IN" sz="1100" b="1">
            <a:solidFill>
              <a:schemeClr val="accent5"/>
            </a:solidFill>
          </a:endParaRPr>
        </a:p>
      </xdr:txBody>
    </xdr:sp>
    <xdr:clientData/>
  </xdr:twoCellAnchor>
  <xdr:twoCellAnchor>
    <xdr:from>
      <xdr:col>0</xdr:col>
      <xdr:colOff>129540</xdr:colOff>
      <xdr:row>3</xdr:row>
      <xdr:rowOff>22860</xdr:rowOff>
    </xdr:from>
    <xdr:to>
      <xdr:col>7</xdr:col>
      <xdr:colOff>251459</xdr:colOff>
      <xdr:row>15</xdr:row>
      <xdr:rowOff>144780</xdr:rowOff>
    </xdr:to>
    <xdr:graphicFrame macro="">
      <xdr:nvGraphicFramePr>
        <xdr:cNvPr id="3" name="Chart 2">
          <a:extLst>
            <a:ext uri="{FF2B5EF4-FFF2-40B4-BE49-F238E27FC236}">
              <a16:creationId xmlns:a16="http://schemas.microsoft.com/office/drawing/2014/main" id="{8ECB266F-8C1B-4E92-A3F6-986DE6711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190500</xdr:colOff>
      <xdr:row>2</xdr:row>
      <xdr:rowOff>160421</xdr:rowOff>
    </xdr:from>
    <xdr:to>
      <xdr:col>18</xdr:col>
      <xdr:colOff>289560</xdr:colOff>
      <xdr:row>32</xdr:row>
      <xdr:rowOff>168041</xdr:rowOff>
    </xdr:to>
    <xdr:pic>
      <xdr:nvPicPr>
        <xdr:cNvPr id="6" name="Picture 5">
          <a:extLst>
            <a:ext uri="{FF2B5EF4-FFF2-40B4-BE49-F238E27FC236}">
              <a16:creationId xmlns:a16="http://schemas.microsoft.com/office/drawing/2014/main" id="{C6D07611-3E9D-A77E-3CDF-84ED5F20C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52974" y="521368"/>
          <a:ext cx="2545481" cy="542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75398</xdr:colOff>
      <xdr:row>18</xdr:row>
      <xdr:rowOff>2807</xdr:rowOff>
    </xdr:from>
    <xdr:to>
      <xdr:col>3</xdr:col>
      <xdr:colOff>160421</xdr:colOff>
      <xdr:row>28</xdr:row>
      <xdr:rowOff>20053</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E767703C-7EAC-45EA-A9A1-5FE58D188C2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5398" y="3251333"/>
              <a:ext cx="1919839" cy="1821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326055</xdr:colOff>
      <xdr:row>18</xdr:row>
      <xdr:rowOff>2806</xdr:rowOff>
    </xdr:from>
    <xdr:to>
      <xdr:col>6</xdr:col>
      <xdr:colOff>320039</xdr:colOff>
      <xdr:row>32</xdr:row>
      <xdr:rowOff>150395</xdr:rowOff>
    </xdr:to>
    <mc:AlternateContent xmlns:mc="http://schemas.openxmlformats.org/markup-compatibility/2006" xmlns:a14="http://schemas.microsoft.com/office/drawing/2010/main">
      <mc:Choice Requires="a14">
        <xdr:graphicFrame macro="">
          <xdr:nvGraphicFramePr>
            <xdr:cNvPr id="8" name="Months (Order_Date) 1">
              <a:extLst>
                <a:ext uri="{FF2B5EF4-FFF2-40B4-BE49-F238E27FC236}">
                  <a16:creationId xmlns:a16="http://schemas.microsoft.com/office/drawing/2014/main" id="{CDB00BE7-40FB-4A4E-8B9A-22DF992E8CB2}"/>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160871" y="3251332"/>
              <a:ext cx="1828800" cy="2674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426319</xdr:colOff>
      <xdr:row>17</xdr:row>
      <xdr:rowOff>163227</xdr:rowOff>
    </xdr:from>
    <xdr:to>
      <xdr:col>9</xdr:col>
      <xdr:colOff>420304</xdr:colOff>
      <xdr:row>31</xdr:row>
      <xdr:rowOff>103571</xdr:rowOff>
    </xdr:to>
    <mc:AlternateContent xmlns:mc="http://schemas.openxmlformats.org/markup-compatibility/2006" xmlns:a14="http://schemas.microsoft.com/office/drawing/2010/main">
      <mc:Choice Requires="a14">
        <xdr:graphicFrame macro="">
          <xdr:nvGraphicFramePr>
            <xdr:cNvPr id="10" name="Product_Category 1">
              <a:extLst>
                <a:ext uri="{FF2B5EF4-FFF2-40B4-BE49-F238E27FC236}">
                  <a16:creationId xmlns:a16="http://schemas.microsoft.com/office/drawing/2014/main" id="{2DAAAF43-54C5-4BB0-BC83-CB530C94C05D}"/>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095951" y="3231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366160</xdr:colOff>
      <xdr:row>3</xdr:row>
      <xdr:rowOff>50132</xdr:rowOff>
    </xdr:from>
    <xdr:to>
      <xdr:col>13</xdr:col>
      <xdr:colOff>601579</xdr:colOff>
      <xdr:row>15</xdr:row>
      <xdr:rowOff>140369</xdr:rowOff>
    </xdr:to>
    <xdr:graphicFrame macro="">
      <xdr:nvGraphicFramePr>
        <xdr:cNvPr id="11" name="Chart 10">
          <a:extLst>
            <a:ext uri="{FF2B5EF4-FFF2-40B4-BE49-F238E27FC236}">
              <a16:creationId xmlns:a16="http://schemas.microsoft.com/office/drawing/2014/main" id="{BCDD4EE8-8039-4F17-8225-29CBA0695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145582</xdr:colOff>
      <xdr:row>34</xdr:row>
      <xdr:rowOff>22859</xdr:rowOff>
    </xdr:from>
    <xdr:to>
      <xdr:col>8</xdr:col>
      <xdr:colOff>82039</xdr:colOff>
      <xdr:row>49</xdr:row>
      <xdr:rowOff>58953</xdr:rowOff>
    </xdr:to>
    <xdr:graphicFrame macro="">
      <xdr:nvGraphicFramePr>
        <xdr:cNvPr id="12" name="Chart 11">
          <a:extLst>
            <a:ext uri="{FF2B5EF4-FFF2-40B4-BE49-F238E27FC236}">
              <a16:creationId xmlns:a16="http://schemas.microsoft.com/office/drawing/2014/main" id="{8DD9BE54-4BAC-4FCC-B96E-D6271A1B3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PAL" refreshedDate="46114.963999537038" createdVersion="8" refreshedVersion="8" minRefreshableVersion="3" recordCount="200" xr:uid="{D03A819E-C5F4-4C89-B0D0-4EBE27215EBD}">
  <cacheSource type="worksheet">
    <worksheetSource ref="A1:J201" sheet="Q-5 Monthly Sales Growth"/>
  </cacheSource>
  <cacheFields count="10">
    <cacheField name="Customer_ID" numFmtId="0">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9">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3">
        <s v="Apr-2024"/>
        <s v="May-2024"/>
        <s v="Jun-2024"/>
        <s v="Jul-2024"/>
        <s v="Aug-2024"/>
        <s v="Sep-2024"/>
        <s v="Oct-2024"/>
        <s v="Nov-2024"/>
        <s v="Dec-2024"/>
        <s v="Jan-2025"/>
        <s v="Feb-2025"/>
        <s v="Mar-2025"/>
        <s v="Apr-2025"/>
      </sharedItems>
    </cacheField>
  </cacheFields>
  <extLst>
    <ext xmlns:x14="http://schemas.microsoft.com/office/spreadsheetml/2009/9/main" uri="{725AE2AE-9491-48be-B2B4-4EB974FC3084}">
      <x14:pivotCacheDefinition pivotCacheId="1932701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PAL" refreshedDate="46114.985547337965" createdVersion="8" refreshedVersion="8" minRefreshableVersion="3" recordCount="200" xr:uid="{D46C0893-4C9C-4F0A-A2BB-901657D7E044}">
  <cacheSource type="worksheet">
    <worksheetSource ref="A4:I204"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Discount" numFmtId="9">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63480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x v="0"/>
    <n v="4"/>
    <n v="0.2"/>
    <d v="2024-04-10T00:00:00"/>
    <n v="331.55"/>
    <x v="0"/>
  </r>
  <r>
    <s v="CUST012"/>
    <s v="Robert Anderson"/>
    <s v="West"/>
    <s v="Clothing"/>
    <x v="1"/>
    <n v="3"/>
    <n v="0.2"/>
    <d v="2024-04-11T00:00:00"/>
    <n v="440.51"/>
    <x v="0"/>
  </r>
  <r>
    <s v="CUST017"/>
    <s v="James Taylor"/>
    <s v="East"/>
    <s v="Books"/>
    <x v="2"/>
    <n v="17"/>
    <n v="0"/>
    <d v="2024-04-14T00:00:00"/>
    <n v="285.33999999999997"/>
    <x v="0"/>
  </r>
  <r>
    <s v="CUST005"/>
    <s v="Robert Anderson"/>
    <s v="South"/>
    <s v="Electronics"/>
    <x v="3"/>
    <n v="4"/>
    <n v="0.15"/>
    <d v="2024-04-14T00:00:00"/>
    <n v="161.69999999999999"/>
    <x v="0"/>
  </r>
  <r>
    <s v="CUST030"/>
    <s v="James Wilson"/>
    <s v="North"/>
    <s v="Books"/>
    <x v="4"/>
    <n v="12"/>
    <n v="0.2"/>
    <d v="2024-04-15T00:00:00"/>
    <n v="271.04000000000002"/>
    <x v="0"/>
  </r>
  <r>
    <s v="CUST007"/>
    <s v="Michael Anderson"/>
    <s v="North"/>
    <s v="Furniture"/>
    <x v="5"/>
    <n v="8"/>
    <n v="0.1"/>
    <d v="2024-04-16T00:00:00"/>
    <n v="304.18"/>
    <x v="0"/>
  </r>
  <r>
    <s v="CUST001"/>
    <s v="Linda Wilson"/>
    <s v="West"/>
    <s v="Electronics"/>
    <x v="6"/>
    <n v="12"/>
    <n v="0.05"/>
    <d v="2024-04-16T00:00:00"/>
    <n v="312.91000000000003"/>
    <x v="0"/>
  </r>
  <r>
    <s v="CUST026"/>
    <s v="Mary Davis"/>
    <s v="East"/>
    <s v="Furniture"/>
    <x v="7"/>
    <n v="6"/>
    <n v="0.2"/>
    <d v="2024-04-19T00:00:00"/>
    <n v="300.85000000000002"/>
    <x v="0"/>
  </r>
  <r>
    <s v="CUST009"/>
    <s v="Linda Jackson"/>
    <s v="Central"/>
    <s v="Books"/>
    <x v="8"/>
    <n v="11"/>
    <n v="0.05"/>
    <d v="2024-04-19T00:00:00"/>
    <n v="190.59"/>
    <x v="0"/>
  </r>
  <r>
    <s v="CUST010"/>
    <s v="David Thomas"/>
    <s v="Central"/>
    <s v="Clothing"/>
    <x v="9"/>
    <n v="2"/>
    <n v="0.05"/>
    <d v="2024-04-19T00:00:00"/>
    <n v="350.22"/>
    <x v="0"/>
  </r>
  <r>
    <s v="CUST014"/>
    <s v="Emma Davis"/>
    <s v="West"/>
    <s v="Office Supplies"/>
    <x v="10"/>
    <n v="6"/>
    <n v="0.05"/>
    <d v="2024-04-20T00:00:00"/>
    <n v="672.38"/>
    <x v="0"/>
  </r>
  <r>
    <s v="CUST014"/>
    <s v="David Thomas"/>
    <s v="Central"/>
    <s v="Books"/>
    <x v="11"/>
    <n v="14"/>
    <n v="0.15"/>
    <d v="2024-04-22T00:00:00"/>
    <n v="456.66"/>
    <x v="0"/>
  </r>
  <r>
    <s v="CUST007"/>
    <s v="Michael Anderson"/>
    <s v="Central"/>
    <s v="Books"/>
    <x v="12"/>
    <n v="14"/>
    <n v="0.05"/>
    <d v="2024-04-24T00:00:00"/>
    <n v="452.8"/>
    <x v="0"/>
  </r>
  <r>
    <s v="CUST023"/>
    <s v="Robert Anderson"/>
    <s v="West"/>
    <s v="Furniture"/>
    <x v="13"/>
    <n v="7"/>
    <n v="0.05"/>
    <d v="2024-04-24T00:00:00"/>
    <n v="273.41000000000003"/>
    <x v="0"/>
  </r>
  <r>
    <s v="CUST029"/>
    <s v="David Smith"/>
    <s v="North"/>
    <s v="Furniture"/>
    <x v="14"/>
    <n v="15"/>
    <n v="0.15"/>
    <d v="2024-04-27T00:00:00"/>
    <n v="155.19999999999999"/>
    <x v="0"/>
  </r>
  <r>
    <s v="CUST005"/>
    <s v="Sarah Anderson"/>
    <s v="South"/>
    <s v="Electronics"/>
    <x v="15"/>
    <n v="14"/>
    <n v="0.2"/>
    <d v="2024-04-28T00:00:00"/>
    <n v="300.58999999999997"/>
    <x v="0"/>
  </r>
  <r>
    <s v="CUST008"/>
    <s v="Robert Anderson"/>
    <s v="South"/>
    <s v="Books"/>
    <x v="16"/>
    <n v="10"/>
    <n v="0.15"/>
    <d v="2024-04-29T00:00:00"/>
    <n v="298.38"/>
    <x v="0"/>
  </r>
  <r>
    <s v="CUST001"/>
    <s v="Lisa Thomas"/>
    <s v="West"/>
    <s v="Books"/>
    <x v="17"/>
    <n v="4"/>
    <n v="0.2"/>
    <d v="2024-04-29T00:00:00"/>
    <n v="203.74"/>
    <x v="0"/>
  </r>
  <r>
    <s v="CUST006"/>
    <s v="Mary Jackson"/>
    <s v="West"/>
    <s v="Books"/>
    <x v="18"/>
    <n v="13"/>
    <n v="0.2"/>
    <d v="2024-04-30T00:00:00"/>
    <n v="481.96"/>
    <x v="0"/>
  </r>
  <r>
    <s v="CUST026"/>
    <s v="Mary Davis"/>
    <s v="Central"/>
    <s v="Electronics"/>
    <x v="19"/>
    <n v="4"/>
    <n v="0"/>
    <d v="2024-05-02T00:00:00"/>
    <n v="161.26"/>
    <x v="1"/>
  </r>
  <r>
    <s v="CUST007"/>
    <s v="Lisa Davis"/>
    <s v="South"/>
    <s v="Clothing"/>
    <x v="20"/>
    <n v="11"/>
    <n v="0"/>
    <d v="2024-05-03T00:00:00"/>
    <n v="476.65"/>
    <x v="1"/>
  </r>
  <r>
    <s v="CUST022"/>
    <s v="Robert Anderson"/>
    <s v="North"/>
    <s v="Electronics"/>
    <x v="21"/>
    <n v="14"/>
    <n v="0.15"/>
    <d v="2024-05-04T00:00:00"/>
    <n v="82.57"/>
    <x v="1"/>
  </r>
  <r>
    <s v="CUST019"/>
    <s v="Mary Davis"/>
    <s v="West"/>
    <s v="Books"/>
    <x v="22"/>
    <n v="9"/>
    <n v="0"/>
    <d v="2024-05-04T00:00:00"/>
    <n v="297.27"/>
    <x v="1"/>
  </r>
  <r>
    <s v="CUST023"/>
    <s v="Mary Davis"/>
    <s v="Central"/>
    <s v="Electronics"/>
    <x v="23"/>
    <n v="6"/>
    <n v="0"/>
    <d v="2024-05-04T00:00:00"/>
    <n v="176.59"/>
    <x v="1"/>
  </r>
  <r>
    <s v="CUST012"/>
    <s v="Mary Davis"/>
    <s v="Central"/>
    <s v="Office Supplies"/>
    <x v="24"/>
    <n v="8"/>
    <n v="0.1"/>
    <d v="2024-05-06T00:00:00"/>
    <n v="374.75"/>
    <x v="1"/>
  </r>
  <r>
    <s v="CUST010"/>
    <s v="Linda Brown"/>
    <s v="South"/>
    <s v="Electronics"/>
    <x v="25"/>
    <n v="18"/>
    <n v="0"/>
    <d v="2024-05-06T00:00:00"/>
    <n v="293.27999999999997"/>
    <x v="1"/>
  </r>
  <r>
    <s v="CUST030"/>
    <s v="John Brown"/>
    <s v="North"/>
    <s v="Furniture"/>
    <x v="26"/>
    <n v="17"/>
    <n v="0"/>
    <d v="2024-05-08T00:00:00"/>
    <n v="236.44"/>
    <x v="1"/>
  </r>
  <r>
    <s v="CUST007"/>
    <s v="Robert Anderson"/>
    <s v="Central"/>
    <s v="Books"/>
    <x v="27"/>
    <n v="2"/>
    <n v="0.05"/>
    <d v="2024-05-10T00:00:00"/>
    <n v="356.85"/>
    <x v="1"/>
  </r>
  <r>
    <s v="CUST028"/>
    <s v="Linda Taylor"/>
    <s v="East"/>
    <s v="Office Supplies"/>
    <x v="28"/>
    <n v="19"/>
    <n v="0.1"/>
    <d v="2024-05-14T00:00:00"/>
    <n v="398.25"/>
    <x v="1"/>
  </r>
  <r>
    <s v="CUST028"/>
    <s v="James Wilson"/>
    <s v="South"/>
    <s v="Electronics"/>
    <x v="29"/>
    <n v="3"/>
    <n v="0.2"/>
    <d v="2024-05-14T00:00:00"/>
    <n v="160.24"/>
    <x v="1"/>
  </r>
  <r>
    <s v="CUST025"/>
    <s v="David Brown"/>
    <s v="North"/>
    <s v="Electronics"/>
    <x v="30"/>
    <n v="5"/>
    <n v="0.1"/>
    <d v="2024-05-15T00:00:00"/>
    <n v="326.41000000000003"/>
    <x v="1"/>
  </r>
  <r>
    <s v="CUST022"/>
    <s v="David Davis"/>
    <s v="Central"/>
    <s v="Books"/>
    <x v="31"/>
    <n v="18"/>
    <n v="0.05"/>
    <d v="2024-05-16T00:00:00"/>
    <n v="388.82"/>
    <x v="1"/>
  </r>
  <r>
    <s v="CUST001"/>
    <s v="Mary Jackson"/>
    <s v="West"/>
    <s v="Furniture"/>
    <x v="32"/>
    <n v="5"/>
    <n v="0.15"/>
    <d v="2024-05-16T00:00:00"/>
    <n v="253.98"/>
    <x v="1"/>
  </r>
  <r>
    <s v="CUST021"/>
    <s v="Sarah Anderson"/>
    <s v="South"/>
    <s v="Electronics"/>
    <x v="33"/>
    <n v="10"/>
    <n v="0.1"/>
    <d v="2024-05-17T00:00:00"/>
    <n v="217.78"/>
    <x v="1"/>
  </r>
  <r>
    <s v="CUST015"/>
    <s v="Linda Taylor"/>
    <s v="North"/>
    <s v="Office Supplies"/>
    <x v="34"/>
    <n v="14"/>
    <n v="0.05"/>
    <d v="2024-05-17T00:00:00"/>
    <n v="513.38"/>
    <x v="1"/>
  </r>
  <r>
    <s v="CUST012"/>
    <s v="Michael Anderson"/>
    <s v="West"/>
    <s v="Books"/>
    <x v="35"/>
    <n v="12"/>
    <n v="0.2"/>
    <d v="2024-05-17T00:00:00"/>
    <n v="151.16"/>
    <x v="1"/>
  </r>
  <r>
    <s v="CUST019"/>
    <s v="David Brown"/>
    <s v="East"/>
    <s v="Office Supplies"/>
    <x v="36"/>
    <n v="9"/>
    <n v="0.05"/>
    <d v="2024-05-17T00:00:00"/>
    <n v="359.49"/>
    <x v="1"/>
  </r>
  <r>
    <s v="CUST028"/>
    <s v="Lisa Davis"/>
    <s v="Central"/>
    <s v="Furniture"/>
    <x v="37"/>
    <n v="11"/>
    <n v="0.05"/>
    <d v="2024-05-22T00:00:00"/>
    <n v="468.84"/>
    <x v="1"/>
  </r>
  <r>
    <s v="CUST008"/>
    <s v="Mary Wilson"/>
    <s v="Central"/>
    <s v="Furniture"/>
    <x v="38"/>
    <n v="13"/>
    <n v="0.15"/>
    <d v="2024-05-22T00:00:00"/>
    <n v="229.99"/>
    <x v="1"/>
  </r>
  <r>
    <s v="CUST016"/>
    <s v="Emma Wilson"/>
    <s v="East"/>
    <s v="Books"/>
    <x v="39"/>
    <n v="19"/>
    <n v="0.15"/>
    <d v="2024-05-23T00:00:00"/>
    <n v="197.35"/>
    <x v="1"/>
  </r>
  <r>
    <s v="CUST005"/>
    <s v="David Smith"/>
    <s v="South"/>
    <s v="Books"/>
    <x v="40"/>
    <n v="15"/>
    <n v="0.1"/>
    <d v="2024-06-02T00:00:00"/>
    <n v="414.44"/>
    <x v="2"/>
  </r>
  <r>
    <s v="CUST028"/>
    <s v="James Wilson"/>
    <s v="Central"/>
    <s v="Office Supplies"/>
    <x v="41"/>
    <n v="5"/>
    <n v="0.2"/>
    <d v="2024-06-04T00:00:00"/>
    <n v="369.35"/>
    <x v="2"/>
  </r>
  <r>
    <s v="CUST023"/>
    <s v="David Davis"/>
    <s v="East"/>
    <s v="Office Supplies"/>
    <x v="42"/>
    <n v="11"/>
    <n v="0.15"/>
    <d v="2024-06-04T00:00:00"/>
    <n v="212.83"/>
    <x v="2"/>
  </r>
  <r>
    <s v="CUST021"/>
    <s v="James Wilson"/>
    <s v="Central"/>
    <s v="Books"/>
    <x v="43"/>
    <n v="19"/>
    <n v="0.1"/>
    <d v="2024-06-05T00:00:00"/>
    <n v="302.70999999999998"/>
    <x v="2"/>
  </r>
  <r>
    <s v="CUST026"/>
    <s v="Emma Wilson"/>
    <s v="North"/>
    <s v="Furniture"/>
    <x v="44"/>
    <n v="12"/>
    <n v="0.15"/>
    <d v="2024-06-05T00:00:00"/>
    <n v="365.11"/>
    <x v="2"/>
  </r>
  <r>
    <s v="CUST017"/>
    <s v="Linda Davis"/>
    <s v="Central"/>
    <s v="Electronics"/>
    <x v="45"/>
    <n v="2"/>
    <n v="0"/>
    <d v="2024-06-06T00:00:00"/>
    <n v="214.18"/>
    <x v="2"/>
  </r>
  <r>
    <s v="CUST025"/>
    <s v="David Davis"/>
    <s v="Central"/>
    <s v="Office Supplies"/>
    <x v="46"/>
    <n v="8"/>
    <n v="0.15"/>
    <d v="2024-06-06T00:00:00"/>
    <n v="468.72"/>
    <x v="2"/>
  </r>
  <r>
    <s v="CUST011"/>
    <s v="Mary Davis"/>
    <s v="North"/>
    <s v="Office Supplies"/>
    <x v="47"/>
    <n v="12"/>
    <n v="0"/>
    <d v="2024-06-07T00:00:00"/>
    <n v="450.71"/>
    <x v="2"/>
  </r>
  <r>
    <s v="CUST021"/>
    <s v="Michael Anderson"/>
    <s v="East"/>
    <s v="Furniture"/>
    <x v="48"/>
    <n v="19"/>
    <n v="0.2"/>
    <d v="2024-06-08T00:00:00"/>
    <n v="332.32"/>
    <x v="2"/>
  </r>
  <r>
    <s v="CUST008"/>
    <s v="John Brown"/>
    <s v="South"/>
    <s v="Electronics"/>
    <x v="49"/>
    <n v="6"/>
    <n v="0.1"/>
    <d v="2024-06-14T00:00:00"/>
    <n v="174.48"/>
    <x v="2"/>
  </r>
  <r>
    <s v="CUST007"/>
    <s v="Linda Jackson"/>
    <s v="South"/>
    <s v="Electronics"/>
    <x v="50"/>
    <n v="6"/>
    <n v="0.05"/>
    <d v="2024-06-18T00:00:00"/>
    <n v="242.6"/>
    <x v="2"/>
  </r>
  <r>
    <s v="CUST015"/>
    <s v="James Wilson"/>
    <s v="South"/>
    <s v="Clothing"/>
    <x v="51"/>
    <n v="7"/>
    <n v="0.1"/>
    <d v="2024-06-20T00:00:00"/>
    <n v="551.98"/>
    <x v="2"/>
  </r>
  <r>
    <s v="CUST030"/>
    <s v="Sarah Davis"/>
    <s v="South"/>
    <s v="Furniture"/>
    <x v="52"/>
    <n v="2"/>
    <n v="0"/>
    <d v="2024-06-21T00:00:00"/>
    <n v="380.43"/>
    <x v="2"/>
  </r>
  <r>
    <s v="CUST002"/>
    <s v="Lisa Davis"/>
    <s v="West"/>
    <s v="Books"/>
    <x v="53"/>
    <n v="18"/>
    <n v="0.1"/>
    <d v="2024-06-23T00:00:00"/>
    <n v="339.44"/>
    <x v="2"/>
  </r>
  <r>
    <s v="CUST009"/>
    <s v="Emma Davis"/>
    <s v="North"/>
    <s v="Electronics"/>
    <x v="54"/>
    <n v="15"/>
    <n v="0.15"/>
    <d v="2024-06-25T00:00:00"/>
    <n v="173.99"/>
    <x v="2"/>
  </r>
  <r>
    <s v="CUST005"/>
    <s v="Robert Anderson"/>
    <s v="South"/>
    <s v="Furniture"/>
    <x v="55"/>
    <n v="10"/>
    <n v="0.2"/>
    <d v="2024-06-25T00:00:00"/>
    <n v="257.33"/>
    <x v="2"/>
  </r>
  <r>
    <s v="CUST030"/>
    <s v="Emma Taylor"/>
    <s v="Central"/>
    <s v="Books"/>
    <x v="56"/>
    <n v="11"/>
    <n v="0"/>
    <d v="2024-06-27T00:00:00"/>
    <n v="389.3"/>
    <x v="2"/>
  </r>
  <r>
    <s v="CUST029"/>
    <s v="Sarah Davis"/>
    <s v="North"/>
    <s v="Electronics"/>
    <x v="57"/>
    <n v="1"/>
    <n v="0.2"/>
    <d v="2024-06-28T00:00:00"/>
    <n v="148.32"/>
    <x v="2"/>
  </r>
  <r>
    <s v="CUST003"/>
    <s v="Emma Davis"/>
    <s v="North"/>
    <s v="Books"/>
    <x v="58"/>
    <n v="2"/>
    <n v="0.1"/>
    <d v="2024-06-30T00:00:00"/>
    <n v="449.58"/>
    <x v="2"/>
  </r>
  <r>
    <s v="CUST012"/>
    <s v="Mary Wilson"/>
    <s v="West"/>
    <s v="Clothing"/>
    <x v="59"/>
    <n v="17"/>
    <n v="0"/>
    <d v="2024-06-30T00:00:00"/>
    <n v="680.18"/>
    <x v="2"/>
  </r>
  <r>
    <s v="CUST021"/>
    <s v="Mary Davis"/>
    <s v="East"/>
    <s v="Books"/>
    <x v="60"/>
    <n v="8"/>
    <n v="0.1"/>
    <d v="2024-07-05T00:00:00"/>
    <n v="497.99"/>
    <x v="3"/>
  </r>
  <r>
    <s v="CUST010"/>
    <s v="David Brown"/>
    <s v="Central"/>
    <s v="Office Supplies"/>
    <x v="61"/>
    <n v="9"/>
    <n v="0"/>
    <d v="2024-07-06T00:00:00"/>
    <n v="220.05"/>
    <x v="3"/>
  </r>
  <r>
    <s v="CUST026"/>
    <s v="Mary Davis"/>
    <s v="East"/>
    <s v="Furniture"/>
    <x v="62"/>
    <n v="17"/>
    <n v="0.1"/>
    <d v="2024-07-08T00:00:00"/>
    <n v="294.12"/>
    <x v="3"/>
  </r>
  <r>
    <s v="CUST003"/>
    <s v="James Davis"/>
    <s v="West"/>
    <s v="Electronics"/>
    <x v="63"/>
    <n v="17"/>
    <n v="0.2"/>
    <d v="2024-07-08T00:00:00"/>
    <n v="201.11"/>
    <x v="3"/>
  </r>
  <r>
    <s v="CUST029"/>
    <s v="Emma Wilson"/>
    <s v="South"/>
    <s v="Electronics"/>
    <x v="64"/>
    <n v="5"/>
    <n v="0.05"/>
    <d v="2024-07-09T00:00:00"/>
    <n v="261.27"/>
    <x v="3"/>
  </r>
  <r>
    <s v="CUST003"/>
    <s v="James Wilson"/>
    <s v="North"/>
    <s v="Furniture"/>
    <x v="65"/>
    <n v="15"/>
    <n v="0.15"/>
    <d v="2024-07-14T00:00:00"/>
    <n v="307.82"/>
    <x v="3"/>
  </r>
  <r>
    <s v="CUST002"/>
    <s v="Mary Davis"/>
    <s v="South"/>
    <s v="Books"/>
    <x v="66"/>
    <n v="12"/>
    <n v="0.05"/>
    <d v="2024-07-15T00:00:00"/>
    <n v="333.05"/>
    <x v="3"/>
  </r>
  <r>
    <s v="CUST020"/>
    <s v="David Brown"/>
    <s v="West"/>
    <s v="Furniture"/>
    <x v="67"/>
    <n v="5"/>
    <n v="0.05"/>
    <d v="2024-07-15T00:00:00"/>
    <n v="455.97"/>
    <x v="3"/>
  </r>
  <r>
    <s v="CUST021"/>
    <s v="Mary Jackson"/>
    <s v="North"/>
    <s v="Electronics"/>
    <x v="68"/>
    <n v="11"/>
    <n v="0.05"/>
    <d v="2024-07-21T00:00:00"/>
    <n v="242.31"/>
    <x v="3"/>
  </r>
  <r>
    <s v="CUST008"/>
    <s v="James Davis"/>
    <s v="Central"/>
    <s v="Office Supplies"/>
    <x v="69"/>
    <n v="1"/>
    <n v="0.05"/>
    <d v="2024-07-29T00:00:00"/>
    <n v="344.06"/>
    <x v="3"/>
  </r>
  <r>
    <s v="CUST030"/>
    <s v="David Brown"/>
    <s v="Central"/>
    <s v="Electronics"/>
    <x v="70"/>
    <n v="1"/>
    <n v="0.05"/>
    <d v="2024-07-30T00:00:00"/>
    <n v="144.56"/>
    <x v="3"/>
  </r>
  <r>
    <s v="CUST020"/>
    <s v="Linda Moore"/>
    <s v="South"/>
    <s v="Office Supplies"/>
    <x v="71"/>
    <n v="19"/>
    <n v="0"/>
    <d v="2024-07-31T00:00:00"/>
    <n v="441.54"/>
    <x v="3"/>
  </r>
  <r>
    <s v="CUST024"/>
    <s v="David Brown"/>
    <s v="East"/>
    <s v="Electronics"/>
    <x v="72"/>
    <n v="10"/>
    <n v="0.15"/>
    <d v="2024-08-05T00:00:00"/>
    <n v="114.7"/>
    <x v="4"/>
  </r>
  <r>
    <s v="CUST012"/>
    <s v="David Anderson"/>
    <s v="South"/>
    <s v="Books"/>
    <x v="73"/>
    <n v="5"/>
    <n v="0.2"/>
    <d v="2024-08-05T00:00:00"/>
    <n v="257.42"/>
    <x v="4"/>
  </r>
  <r>
    <s v="CUST024"/>
    <s v="Emma Davis"/>
    <s v="West"/>
    <s v="Electronics"/>
    <x v="74"/>
    <n v="13"/>
    <n v="0.2"/>
    <d v="2024-08-08T00:00:00"/>
    <n v="305.32"/>
    <x v="4"/>
  </r>
  <r>
    <s v="CUST012"/>
    <s v="Linda Wilson"/>
    <s v="West"/>
    <s v="Electronics"/>
    <x v="75"/>
    <n v="5"/>
    <n v="0.15"/>
    <d v="2024-08-09T00:00:00"/>
    <n v="258.24"/>
    <x v="4"/>
  </r>
  <r>
    <s v="CUST005"/>
    <s v="Linda Taylor"/>
    <s v="Central"/>
    <s v="Furniture"/>
    <x v="76"/>
    <n v="3"/>
    <n v="0"/>
    <d v="2024-08-15T00:00:00"/>
    <n v="441.47"/>
    <x v="4"/>
  </r>
  <r>
    <s v="CUST004"/>
    <s v="Lisa Thomas"/>
    <s v="North"/>
    <s v="Furniture"/>
    <x v="77"/>
    <n v="7"/>
    <n v="0.05"/>
    <d v="2024-08-18T00:00:00"/>
    <n v="172.26"/>
    <x v="4"/>
  </r>
  <r>
    <s v="CUST026"/>
    <s v="Linda Wilson"/>
    <s v="West"/>
    <s v="Office Supplies"/>
    <x v="78"/>
    <n v="1"/>
    <n v="0"/>
    <d v="2024-08-19T00:00:00"/>
    <n v="500.1"/>
    <x v="4"/>
  </r>
  <r>
    <s v="CUST030"/>
    <s v="Mary Davis"/>
    <s v="East"/>
    <s v="Clothing"/>
    <x v="79"/>
    <n v="18"/>
    <n v="0.1"/>
    <d v="2024-08-22T00:00:00"/>
    <n v="581.16"/>
    <x v="4"/>
  </r>
  <r>
    <s v="CUST007"/>
    <s v="David Brown"/>
    <s v="North"/>
    <s v="Books"/>
    <x v="80"/>
    <n v="19"/>
    <n v="0"/>
    <d v="2024-08-30T00:00:00"/>
    <n v="271.88"/>
    <x v="4"/>
  </r>
  <r>
    <s v="CUST020"/>
    <s v="Linda Jackson"/>
    <s v="East"/>
    <s v="Furniture"/>
    <x v="81"/>
    <n v="17"/>
    <n v="0"/>
    <d v="2024-08-30T00:00:00"/>
    <n v="400.29"/>
    <x v="4"/>
  </r>
  <r>
    <s v="CUST028"/>
    <s v="Linda Brown"/>
    <s v="Central"/>
    <s v="Electronics"/>
    <x v="82"/>
    <n v="7"/>
    <n v="0.1"/>
    <d v="2024-09-01T00:00:00"/>
    <n v="177.77"/>
    <x v="5"/>
  </r>
  <r>
    <s v="CUST005"/>
    <s v="Lisa Davis"/>
    <s v="Central"/>
    <s v="Books"/>
    <x v="83"/>
    <n v="7"/>
    <n v="0.05"/>
    <d v="2024-09-01T00:00:00"/>
    <n v="406.86"/>
    <x v="5"/>
  </r>
  <r>
    <s v="CUST015"/>
    <s v="David Thomas"/>
    <s v="West"/>
    <s v="Clothing"/>
    <x v="84"/>
    <n v="4"/>
    <n v="0.1"/>
    <d v="2024-09-09T00:00:00"/>
    <n v="526"/>
    <x v="5"/>
  </r>
  <r>
    <s v="CUST003"/>
    <s v="James Davis"/>
    <s v="South"/>
    <s v="Electronics"/>
    <x v="85"/>
    <n v="17"/>
    <n v="0"/>
    <d v="2024-09-09T00:00:00"/>
    <n v="333.97"/>
    <x v="5"/>
  </r>
  <r>
    <s v="CUST023"/>
    <s v="David Brown"/>
    <s v="East"/>
    <s v="Furniture"/>
    <x v="86"/>
    <n v="9"/>
    <n v="0"/>
    <d v="2024-09-11T00:00:00"/>
    <n v="305.8"/>
    <x v="5"/>
  </r>
  <r>
    <s v="CUST004"/>
    <s v="Sarah Davis"/>
    <s v="West"/>
    <s v="Office Supplies"/>
    <x v="87"/>
    <n v="19"/>
    <n v="0"/>
    <d v="2024-09-12T00:00:00"/>
    <n v="649.79"/>
    <x v="5"/>
  </r>
  <r>
    <s v="CUST023"/>
    <s v="James Wilson"/>
    <s v="East"/>
    <s v="Office Supplies"/>
    <x v="88"/>
    <n v="11"/>
    <n v="0.15"/>
    <d v="2024-09-14T00:00:00"/>
    <n v="441.53"/>
    <x v="5"/>
  </r>
  <r>
    <s v="CUST022"/>
    <s v="Linda Brown"/>
    <s v="South"/>
    <s v="Books"/>
    <x v="89"/>
    <n v="16"/>
    <n v="0.05"/>
    <d v="2024-09-14T00:00:00"/>
    <n v="480.51"/>
    <x v="5"/>
  </r>
  <r>
    <s v="CUST007"/>
    <s v="Emma Taylor"/>
    <s v="West"/>
    <s v="Furniture"/>
    <x v="90"/>
    <n v="4"/>
    <n v="0.1"/>
    <d v="2024-09-16T00:00:00"/>
    <n v="346.99"/>
    <x v="5"/>
  </r>
  <r>
    <s v="CUST013"/>
    <s v="Robert Anderson"/>
    <s v="South"/>
    <s v="Furniture"/>
    <x v="91"/>
    <n v="1"/>
    <n v="0.1"/>
    <d v="2024-09-17T00:00:00"/>
    <n v="229.23"/>
    <x v="5"/>
  </r>
  <r>
    <s v="CUST027"/>
    <s v="Emma Davis"/>
    <s v="East"/>
    <s v="Office Supplies"/>
    <x v="92"/>
    <n v="13"/>
    <n v="0.15"/>
    <d v="2024-09-17T00:00:00"/>
    <n v="334.84"/>
    <x v="5"/>
  </r>
  <r>
    <s v="CUST003"/>
    <s v="James Wilson"/>
    <s v="West"/>
    <s v="Electronics"/>
    <x v="93"/>
    <n v="19"/>
    <n v="0.2"/>
    <d v="2024-09-18T00:00:00"/>
    <n v="231.79"/>
    <x v="5"/>
  </r>
  <r>
    <s v="CUST018"/>
    <s v="Mary Jackson"/>
    <s v="South"/>
    <s v="Books"/>
    <x v="94"/>
    <n v="2"/>
    <n v="0.15"/>
    <d v="2024-09-22T00:00:00"/>
    <n v="328.54"/>
    <x v="5"/>
  </r>
  <r>
    <s v="CUST020"/>
    <s v="James Taylor"/>
    <s v="South"/>
    <s v="Books"/>
    <x v="95"/>
    <n v="6"/>
    <n v="0"/>
    <d v="2024-09-23T00:00:00"/>
    <n v="366.99"/>
    <x v="5"/>
  </r>
  <r>
    <s v="CUST029"/>
    <s v="Emma Wilson"/>
    <s v="West"/>
    <s v="Furniture"/>
    <x v="96"/>
    <n v="7"/>
    <n v="0.15"/>
    <d v="2024-09-24T00:00:00"/>
    <n v="348.96"/>
    <x v="5"/>
  </r>
  <r>
    <s v="CUST021"/>
    <s v="James Wilson"/>
    <s v="North"/>
    <s v="Clothing"/>
    <x v="97"/>
    <n v="11"/>
    <n v="0.1"/>
    <d v="2024-09-24T00:00:00"/>
    <n v="542.62"/>
    <x v="5"/>
  </r>
  <r>
    <s v="CUST017"/>
    <s v="Sarah Davis"/>
    <s v="West"/>
    <s v="Office Supplies"/>
    <x v="98"/>
    <n v="10"/>
    <n v="0.2"/>
    <d v="2024-09-29T00:00:00"/>
    <n v="297.69"/>
    <x v="5"/>
  </r>
  <r>
    <s v="CUST003"/>
    <s v="James Wilson"/>
    <s v="Central"/>
    <s v="Clothing"/>
    <x v="99"/>
    <n v="12"/>
    <n v="0"/>
    <d v="2024-09-29T00:00:00"/>
    <n v="451.1"/>
    <x v="5"/>
  </r>
  <r>
    <s v="CUST027"/>
    <s v="Emma Davis"/>
    <s v="North"/>
    <s v="Books"/>
    <x v="100"/>
    <n v="17"/>
    <n v="0.1"/>
    <d v="2024-09-30T00:00:00"/>
    <n v="210.95"/>
    <x v="5"/>
  </r>
  <r>
    <s v="CUST016"/>
    <s v="Michael Anderson"/>
    <s v="North"/>
    <s v="Clothing"/>
    <x v="101"/>
    <n v="8"/>
    <n v="0.1"/>
    <d v="2024-09-30T00:00:00"/>
    <n v="445.59"/>
    <x v="5"/>
  </r>
  <r>
    <s v="CUST008"/>
    <s v="David Davis"/>
    <s v="Central"/>
    <s v="Electronics"/>
    <x v="102"/>
    <n v="13"/>
    <n v="0.2"/>
    <d v="2024-10-02T00:00:00"/>
    <n v="202.82"/>
    <x v="6"/>
  </r>
  <r>
    <s v="CUST012"/>
    <s v="Lisa Davis"/>
    <s v="North"/>
    <s v="Electronics"/>
    <x v="103"/>
    <n v="17"/>
    <n v="0"/>
    <d v="2024-10-05T00:00:00"/>
    <n v="231.32"/>
    <x v="6"/>
  </r>
  <r>
    <s v="CUST025"/>
    <s v="Mary Jackson"/>
    <s v="East"/>
    <s v="Furniture"/>
    <x v="104"/>
    <n v="8"/>
    <n v="0"/>
    <d v="2024-10-10T00:00:00"/>
    <n v="450.29"/>
    <x v="6"/>
  </r>
  <r>
    <s v="CUST014"/>
    <s v="Sarah Davis"/>
    <s v="South"/>
    <s v="Books"/>
    <x v="105"/>
    <n v="8"/>
    <n v="0.2"/>
    <d v="2024-10-12T00:00:00"/>
    <n v="307.72000000000003"/>
    <x v="6"/>
  </r>
  <r>
    <s v="CUST008"/>
    <s v="James Wilson"/>
    <s v="East"/>
    <s v="Books"/>
    <x v="106"/>
    <n v="19"/>
    <n v="0.15"/>
    <d v="2024-10-12T00:00:00"/>
    <n v="367.59"/>
    <x v="6"/>
  </r>
  <r>
    <s v="CUST015"/>
    <s v="James Wilson"/>
    <s v="West"/>
    <s v="Clothing"/>
    <x v="107"/>
    <n v="9"/>
    <n v="0.2"/>
    <d v="2024-10-15T00:00:00"/>
    <n v="769.46"/>
    <x v="6"/>
  </r>
  <r>
    <s v="CUST025"/>
    <s v="Emma Taylor"/>
    <s v="Central"/>
    <s v="Clothing"/>
    <x v="108"/>
    <n v="14"/>
    <n v="0.1"/>
    <d v="2024-10-16T00:00:00"/>
    <n v="327.92"/>
    <x v="6"/>
  </r>
  <r>
    <s v="CUST019"/>
    <s v="Linda Jackson"/>
    <s v="Central"/>
    <s v="Clothing"/>
    <x v="109"/>
    <n v="7"/>
    <n v="0.15"/>
    <d v="2024-10-16T00:00:00"/>
    <n v="553.29999999999995"/>
    <x v="6"/>
  </r>
  <r>
    <s v="CUST024"/>
    <s v="Emma Taylor"/>
    <s v="East"/>
    <s v="Books"/>
    <x v="110"/>
    <n v="16"/>
    <n v="0.1"/>
    <d v="2024-10-17T00:00:00"/>
    <n v="352.86"/>
    <x v="6"/>
  </r>
  <r>
    <s v="CUST027"/>
    <s v="James Wilson"/>
    <s v="West"/>
    <s v="Clothing"/>
    <x v="111"/>
    <n v="17"/>
    <n v="0.1"/>
    <d v="2024-10-19T00:00:00"/>
    <n v="313.91000000000003"/>
    <x v="6"/>
  </r>
  <r>
    <s v="CUST006"/>
    <s v="David Anderson"/>
    <s v="West"/>
    <s v="Furniture"/>
    <x v="112"/>
    <n v="1"/>
    <n v="0.15"/>
    <d v="2024-10-19T00:00:00"/>
    <n v="355.1"/>
    <x v="6"/>
  </r>
  <r>
    <s v="CUST009"/>
    <s v="Emma Davis"/>
    <s v="South"/>
    <s v="Electronics"/>
    <x v="113"/>
    <n v="1"/>
    <n v="0"/>
    <d v="2024-10-20T00:00:00"/>
    <n v="192.76"/>
    <x v="6"/>
  </r>
  <r>
    <s v="CUST003"/>
    <s v="Linda Moore"/>
    <s v="North"/>
    <s v="Clothing"/>
    <x v="114"/>
    <n v="1"/>
    <n v="0.2"/>
    <d v="2024-10-28T00:00:00"/>
    <n v="264.44"/>
    <x v="6"/>
  </r>
  <r>
    <s v="CUST012"/>
    <s v="David Brown"/>
    <s v="West"/>
    <s v="Electronics"/>
    <x v="115"/>
    <n v="15"/>
    <n v="0"/>
    <d v="2024-10-30T00:00:00"/>
    <n v="172.21"/>
    <x v="6"/>
  </r>
  <r>
    <s v="CUST013"/>
    <s v="Linda Wilson"/>
    <s v="Central"/>
    <s v="Books"/>
    <x v="116"/>
    <n v="4"/>
    <n v="0.05"/>
    <d v="2024-11-01T00:00:00"/>
    <n v="474.66"/>
    <x v="7"/>
  </r>
  <r>
    <s v="CUST008"/>
    <s v="James Wilson"/>
    <s v="East"/>
    <s v="Office Supplies"/>
    <x v="117"/>
    <n v="14"/>
    <n v="0.05"/>
    <d v="2024-11-03T00:00:00"/>
    <n v="433.58"/>
    <x v="7"/>
  </r>
  <r>
    <s v="CUST025"/>
    <s v="Lisa Davis"/>
    <s v="East"/>
    <s v="Books"/>
    <x v="118"/>
    <n v="2"/>
    <n v="0.15"/>
    <d v="2024-11-09T00:00:00"/>
    <n v="343.6"/>
    <x v="7"/>
  </r>
  <r>
    <s v="CUST026"/>
    <s v="Mary Wilson"/>
    <s v="North"/>
    <s v="Furniture"/>
    <x v="119"/>
    <n v="4"/>
    <n v="0.05"/>
    <d v="2024-11-09T00:00:00"/>
    <n v="318.3"/>
    <x v="7"/>
  </r>
  <r>
    <s v="CUST001"/>
    <s v="Lisa Thomas"/>
    <s v="North"/>
    <s v="Furniture"/>
    <x v="120"/>
    <n v="3"/>
    <n v="0.05"/>
    <d v="2024-11-12T00:00:00"/>
    <n v="358.41"/>
    <x v="7"/>
  </r>
  <r>
    <s v="CUST028"/>
    <s v="Linda Brown"/>
    <s v="South"/>
    <s v="Clothing"/>
    <x v="121"/>
    <n v="5"/>
    <n v="0"/>
    <d v="2024-11-15T00:00:00"/>
    <n v="581.5"/>
    <x v="7"/>
  </r>
  <r>
    <s v="CUST025"/>
    <s v="Lisa Thomas"/>
    <s v="East"/>
    <s v="Office Supplies"/>
    <x v="122"/>
    <n v="10"/>
    <n v="0.1"/>
    <d v="2024-11-16T00:00:00"/>
    <n v="410.9"/>
    <x v="7"/>
  </r>
  <r>
    <s v="CUST019"/>
    <s v="James Taylor"/>
    <s v="South"/>
    <s v="Electronics"/>
    <x v="123"/>
    <n v="14"/>
    <n v="0"/>
    <d v="2024-11-17T00:00:00"/>
    <n v="179.51"/>
    <x v="7"/>
  </r>
  <r>
    <s v="CUST004"/>
    <s v="James Taylor"/>
    <s v="Central"/>
    <s v="Clothing"/>
    <x v="124"/>
    <n v="18"/>
    <n v="0.2"/>
    <d v="2024-11-17T00:00:00"/>
    <n v="511.14"/>
    <x v="7"/>
  </r>
  <r>
    <s v="CUST024"/>
    <s v="James Wilson"/>
    <s v="North"/>
    <s v="Electronics"/>
    <x v="125"/>
    <n v="1"/>
    <n v="0.15"/>
    <d v="2024-11-17T00:00:00"/>
    <n v="150.18"/>
    <x v="7"/>
  </r>
  <r>
    <s v="CUST002"/>
    <s v="Linda Brown"/>
    <s v="East"/>
    <s v="Electronics"/>
    <x v="126"/>
    <n v="15"/>
    <n v="0"/>
    <d v="2024-11-19T00:00:00"/>
    <n v="352.65"/>
    <x v="7"/>
  </r>
  <r>
    <s v="CUST009"/>
    <s v="Emma Wilson"/>
    <s v="South"/>
    <s v="Furniture"/>
    <x v="127"/>
    <n v="10"/>
    <n v="0"/>
    <d v="2024-11-19T00:00:00"/>
    <n v="472.62"/>
    <x v="7"/>
  </r>
  <r>
    <s v="CUST029"/>
    <s v="Lisa Thomas"/>
    <s v="East"/>
    <s v="Electronics"/>
    <x v="128"/>
    <n v="4"/>
    <n v="0.15"/>
    <d v="2024-11-19T00:00:00"/>
    <n v="195.33"/>
    <x v="7"/>
  </r>
  <r>
    <s v="CUST027"/>
    <s v="James Wilson"/>
    <s v="West"/>
    <s v="Electronics"/>
    <x v="129"/>
    <n v="19"/>
    <n v="0"/>
    <d v="2024-11-20T00:00:00"/>
    <n v="64.63"/>
    <x v="7"/>
  </r>
  <r>
    <s v="CUST011"/>
    <s v="Emma Wilson"/>
    <s v="East"/>
    <s v="Books"/>
    <x v="130"/>
    <n v="5"/>
    <n v="0.05"/>
    <d v="2024-11-20T00:00:00"/>
    <n v="461.12"/>
    <x v="7"/>
  </r>
  <r>
    <s v="CUST021"/>
    <s v="Emma Davis"/>
    <s v="Central"/>
    <s v="Books"/>
    <x v="131"/>
    <n v="8"/>
    <n v="0.05"/>
    <d v="2024-11-26T00:00:00"/>
    <n v="437.11"/>
    <x v="7"/>
  </r>
  <r>
    <s v="CUST014"/>
    <s v="David Anderson"/>
    <s v="South"/>
    <s v="Furniture"/>
    <x v="132"/>
    <n v="8"/>
    <n v="0.1"/>
    <d v="2024-11-26T00:00:00"/>
    <n v="268.97000000000003"/>
    <x v="7"/>
  </r>
  <r>
    <s v="CUST018"/>
    <s v="Lisa Thomas"/>
    <s v="South"/>
    <s v="Electronics"/>
    <x v="133"/>
    <n v="1"/>
    <n v="0"/>
    <d v="2024-11-28T00:00:00"/>
    <n v="265.26"/>
    <x v="7"/>
  </r>
  <r>
    <s v="CUST001"/>
    <s v="Sarah Anderson"/>
    <s v="West"/>
    <s v="Electronics"/>
    <x v="134"/>
    <n v="19"/>
    <n v="0.2"/>
    <d v="2024-11-29T00:00:00"/>
    <n v="178.91"/>
    <x v="7"/>
  </r>
  <r>
    <s v="CUST007"/>
    <s v="Emma Davis"/>
    <s v="North"/>
    <s v="Office Supplies"/>
    <x v="135"/>
    <n v="3"/>
    <n v="0.05"/>
    <d v="2024-11-30T00:00:00"/>
    <n v="356.5"/>
    <x v="7"/>
  </r>
  <r>
    <s v="CUST015"/>
    <s v="David Anderson"/>
    <s v="West"/>
    <s v="Furniture"/>
    <x v="136"/>
    <n v="4"/>
    <n v="0.2"/>
    <d v="2024-12-04T00:00:00"/>
    <n v="229.65"/>
    <x v="8"/>
  </r>
  <r>
    <s v="CUST015"/>
    <s v="Emma Davis"/>
    <s v="Central"/>
    <s v="Electronics"/>
    <x v="137"/>
    <n v="8"/>
    <n v="0.05"/>
    <d v="2024-12-05T00:00:00"/>
    <n v="121.54"/>
    <x v="8"/>
  </r>
  <r>
    <s v="CUST002"/>
    <s v="Emma Wilson"/>
    <s v="South"/>
    <s v="Furniture"/>
    <x v="138"/>
    <n v="19"/>
    <n v="0.05"/>
    <d v="2024-12-12T00:00:00"/>
    <n v="268"/>
    <x v="8"/>
  </r>
  <r>
    <s v="CUST001"/>
    <s v="Michael Anderson"/>
    <s v="Central"/>
    <s v="Furniture"/>
    <x v="139"/>
    <n v="16"/>
    <n v="0.15"/>
    <d v="2024-12-14T00:00:00"/>
    <n v="426.16"/>
    <x v="8"/>
  </r>
  <r>
    <s v="CUST027"/>
    <s v="Linda Wilson"/>
    <s v="Central"/>
    <s v="Electronics"/>
    <x v="140"/>
    <n v="10"/>
    <n v="0.15"/>
    <d v="2024-12-14T00:00:00"/>
    <n v="316.32"/>
    <x v="8"/>
  </r>
  <r>
    <s v="CUST026"/>
    <s v="Emma Taylor"/>
    <s v="East"/>
    <s v="Books"/>
    <x v="141"/>
    <n v="9"/>
    <n v="0"/>
    <d v="2024-12-20T00:00:00"/>
    <n v="492.5"/>
    <x v="8"/>
  </r>
  <r>
    <s v="CUST026"/>
    <s v="Sarah Anderson"/>
    <s v="West"/>
    <s v="Electronics"/>
    <x v="142"/>
    <n v="19"/>
    <n v="0.2"/>
    <d v="2024-12-21T00:00:00"/>
    <n v="232.33"/>
    <x v="8"/>
  </r>
  <r>
    <s v="CUST022"/>
    <s v="Lisa Thomas"/>
    <s v="Central"/>
    <s v="Office Supplies"/>
    <x v="143"/>
    <n v="16"/>
    <n v="0.05"/>
    <d v="2024-12-24T00:00:00"/>
    <n v="165.97"/>
    <x v="8"/>
  </r>
  <r>
    <s v="CUST004"/>
    <s v="Mary Davis"/>
    <s v="North"/>
    <s v="Clothing"/>
    <x v="144"/>
    <n v="6"/>
    <n v="0.15"/>
    <d v="2024-12-25T00:00:00"/>
    <n v="675.5"/>
    <x v="8"/>
  </r>
  <r>
    <s v="CUST001"/>
    <s v="David Anderson"/>
    <s v="North"/>
    <s v="Clothing"/>
    <x v="145"/>
    <n v="13"/>
    <n v="0.2"/>
    <d v="2024-12-25T00:00:00"/>
    <n v="134.66"/>
    <x v="8"/>
  </r>
  <r>
    <s v="CUST022"/>
    <s v="James Wilson"/>
    <s v="West"/>
    <s v="Books"/>
    <x v="146"/>
    <n v="14"/>
    <n v="0.1"/>
    <d v="2024-12-30T00:00:00"/>
    <n v="487.36"/>
    <x v="8"/>
  </r>
  <r>
    <s v="CUST011"/>
    <s v="Linda Moore"/>
    <s v="Central"/>
    <s v="Clothing"/>
    <x v="147"/>
    <n v="11"/>
    <n v="0.05"/>
    <d v="2025-01-01T00:00:00"/>
    <n v="314.74"/>
    <x v="9"/>
  </r>
  <r>
    <s v="CUST028"/>
    <s v="Lisa Davis"/>
    <s v="North"/>
    <s v="Office Supplies"/>
    <x v="148"/>
    <n v="1"/>
    <n v="0.2"/>
    <d v="2025-01-01T00:00:00"/>
    <n v="111.39"/>
    <x v="9"/>
  </r>
  <r>
    <s v="CUST011"/>
    <s v="Linda Wilson"/>
    <s v="North"/>
    <s v="Books"/>
    <x v="149"/>
    <n v="18"/>
    <n v="0.1"/>
    <d v="2025-01-02T00:00:00"/>
    <n v="318.47000000000003"/>
    <x v="9"/>
  </r>
  <r>
    <s v="CUST028"/>
    <s v="James Wilson"/>
    <s v="Central"/>
    <s v="Office Supplies"/>
    <x v="150"/>
    <n v="10"/>
    <n v="0.1"/>
    <d v="2025-01-03T00:00:00"/>
    <n v="301.75"/>
    <x v="9"/>
  </r>
  <r>
    <s v="CUST016"/>
    <s v="James Taylor"/>
    <s v="South"/>
    <s v="Clothing"/>
    <x v="151"/>
    <n v="5"/>
    <n v="0.05"/>
    <d v="2025-01-03T00:00:00"/>
    <n v="413.36"/>
    <x v="9"/>
  </r>
  <r>
    <s v="CUST010"/>
    <s v="Linda Wilson"/>
    <s v="West"/>
    <s v="Furniture"/>
    <x v="152"/>
    <n v="18"/>
    <n v="0.05"/>
    <d v="2025-01-06T00:00:00"/>
    <n v="286.68"/>
    <x v="9"/>
  </r>
  <r>
    <s v="CUST013"/>
    <s v="Mary Wilson"/>
    <s v="North"/>
    <s v="Clothing"/>
    <x v="153"/>
    <n v="19"/>
    <n v="0.05"/>
    <d v="2025-01-10T00:00:00"/>
    <n v="556.30999999999995"/>
    <x v="9"/>
  </r>
  <r>
    <s v="CUST015"/>
    <s v="Robert Anderson"/>
    <s v="South"/>
    <s v="Furniture"/>
    <x v="154"/>
    <n v="11"/>
    <n v="0.1"/>
    <d v="2025-01-12T00:00:00"/>
    <n v="332.19"/>
    <x v="9"/>
  </r>
  <r>
    <s v="CUST015"/>
    <s v="James Wilson"/>
    <s v="North"/>
    <s v="Electronics"/>
    <x v="155"/>
    <n v="5"/>
    <n v="0.2"/>
    <d v="2025-01-13T00:00:00"/>
    <n v="336.24"/>
    <x v="9"/>
  </r>
  <r>
    <s v="CUST015"/>
    <s v="David Thomas"/>
    <s v="West"/>
    <s v="Clothing"/>
    <x v="156"/>
    <n v="9"/>
    <n v="0.05"/>
    <d v="2025-01-16T00:00:00"/>
    <n v="180.39"/>
    <x v="9"/>
  </r>
  <r>
    <s v="CUST008"/>
    <s v="Lisa Thomas"/>
    <s v="Central"/>
    <s v="Clothing"/>
    <x v="157"/>
    <n v="2"/>
    <n v="0.1"/>
    <d v="2025-01-17T00:00:00"/>
    <n v="484.35"/>
    <x v="9"/>
  </r>
  <r>
    <s v="CUST008"/>
    <s v="Mary Davis"/>
    <s v="Central"/>
    <s v="Office Supplies"/>
    <x v="158"/>
    <n v="7"/>
    <n v="0"/>
    <d v="2025-01-17T00:00:00"/>
    <n v="562.82000000000005"/>
    <x v="9"/>
  </r>
  <r>
    <s v="CUST023"/>
    <s v="James Taylor"/>
    <s v="South"/>
    <s v="Clothing"/>
    <x v="159"/>
    <n v="6"/>
    <n v="0.2"/>
    <d v="2025-01-17T00:00:00"/>
    <n v="447.34"/>
    <x v="9"/>
  </r>
  <r>
    <s v="CUST024"/>
    <s v="Linda Taylor"/>
    <s v="North"/>
    <s v="Clothing"/>
    <x v="160"/>
    <n v="12"/>
    <n v="0.2"/>
    <d v="2025-01-20T00:00:00"/>
    <n v="649.04999999999995"/>
    <x v="9"/>
  </r>
  <r>
    <s v="CUST018"/>
    <s v="Lisa Davis"/>
    <s v="North"/>
    <s v="Books"/>
    <x v="161"/>
    <n v="11"/>
    <n v="0.2"/>
    <d v="2025-01-21T00:00:00"/>
    <n v="205"/>
    <x v="9"/>
  </r>
  <r>
    <s v="CUST030"/>
    <s v="Sarah Anderson"/>
    <s v="West"/>
    <s v="Clothing"/>
    <x v="162"/>
    <n v="17"/>
    <n v="0.1"/>
    <d v="2025-01-27T00:00:00"/>
    <n v="263.32"/>
    <x v="9"/>
  </r>
  <r>
    <s v="CUST030"/>
    <s v="Mary Davis"/>
    <s v="East"/>
    <s v="Clothing"/>
    <x v="163"/>
    <n v="5"/>
    <n v="0.2"/>
    <d v="2025-02-02T00:00:00"/>
    <n v="443.99"/>
    <x v="10"/>
  </r>
  <r>
    <s v="CUST015"/>
    <s v="Lisa Thomas"/>
    <s v="East"/>
    <s v="Books"/>
    <x v="164"/>
    <n v="9"/>
    <n v="0.1"/>
    <d v="2025-02-04T00:00:00"/>
    <n v="395.31"/>
    <x v="10"/>
  </r>
  <r>
    <s v="CUST002"/>
    <s v="Lisa Davis"/>
    <s v="West"/>
    <s v="Office Supplies"/>
    <x v="165"/>
    <n v="7"/>
    <n v="0.1"/>
    <d v="2025-02-05T00:00:00"/>
    <n v="335.04"/>
    <x v="10"/>
  </r>
  <r>
    <s v="CUST024"/>
    <s v="Linda Wilson"/>
    <s v="Central"/>
    <s v="Clothing"/>
    <x v="166"/>
    <n v="16"/>
    <n v="0.1"/>
    <d v="2025-02-07T00:00:00"/>
    <n v="333.85"/>
    <x v="10"/>
  </r>
  <r>
    <s v="CUST004"/>
    <s v="James Davis"/>
    <s v="East"/>
    <s v="Office Supplies"/>
    <x v="167"/>
    <n v="6"/>
    <n v="0.1"/>
    <d v="2025-02-10T00:00:00"/>
    <n v="531.05999999999995"/>
    <x v="10"/>
  </r>
  <r>
    <s v="CUST004"/>
    <s v="Mary Davis"/>
    <s v="South"/>
    <s v="Office Supplies"/>
    <x v="168"/>
    <n v="19"/>
    <n v="0.1"/>
    <d v="2025-02-15T00:00:00"/>
    <n v="232.19"/>
    <x v="10"/>
  </r>
  <r>
    <s v="CUST028"/>
    <s v="James Wilson"/>
    <s v="West"/>
    <s v="Electronics"/>
    <x v="169"/>
    <n v="14"/>
    <n v="0.2"/>
    <d v="2025-02-17T00:00:00"/>
    <n v="223.04"/>
    <x v="10"/>
  </r>
  <r>
    <s v="CUST012"/>
    <s v="Lisa Thomas"/>
    <s v="North"/>
    <s v="Clothing"/>
    <x v="170"/>
    <n v="4"/>
    <n v="0"/>
    <d v="2025-02-19T00:00:00"/>
    <n v="422.92"/>
    <x v="10"/>
  </r>
  <r>
    <s v="CUST026"/>
    <s v="David Brown"/>
    <s v="West"/>
    <s v="Electronics"/>
    <x v="171"/>
    <n v="3"/>
    <n v="0"/>
    <d v="2025-02-20T00:00:00"/>
    <n v="257.45"/>
    <x v="10"/>
  </r>
  <r>
    <s v="CUST009"/>
    <s v="Mary Davis"/>
    <s v="North"/>
    <s v="Books"/>
    <x v="172"/>
    <n v="2"/>
    <n v="0.2"/>
    <d v="2025-02-21T00:00:00"/>
    <n v="380.75"/>
    <x v="10"/>
  </r>
  <r>
    <s v="CUST003"/>
    <s v="Sarah Anderson"/>
    <s v="South"/>
    <s v="Books"/>
    <x v="173"/>
    <n v="15"/>
    <n v="0.2"/>
    <d v="2025-02-24T00:00:00"/>
    <n v="225.37"/>
    <x v="10"/>
  </r>
  <r>
    <s v="CUST002"/>
    <s v="Mary Jackson"/>
    <s v="Central"/>
    <s v="Office Supplies"/>
    <x v="174"/>
    <n v="12"/>
    <n v="0.2"/>
    <d v="2025-02-24T00:00:00"/>
    <n v="582.55999999999995"/>
    <x v="10"/>
  </r>
  <r>
    <s v="CUST013"/>
    <s v="Linda Taylor"/>
    <s v="Central"/>
    <s v="Books"/>
    <x v="175"/>
    <n v="2"/>
    <n v="0.15"/>
    <d v="2025-02-25T00:00:00"/>
    <n v="344.91"/>
    <x v="10"/>
  </r>
  <r>
    <s v="CUST018"/>
    <s v="Mary Davis"/>
    <s v="Central"/>
    <s v="Clothing"/>
    <x v="176"/>
    <n v="18"/>
    <n v="0.2"/>
    <d v="2025-02-27T00:00:00"/>
    <n v="330.79"/>
    <x v="10"/>
  </r>
  <r>
    <s v="CUST017"/>
    <s v="Mary Davis"/>
    <s v="Central"/>
    <s v="Clothing"/>
    <x v="177"/>
    <n v="8"/>
    <n v="0.1"/>
    <d v="2025-03-01T00:00:00"/>
    <n v="460"/>
    <x v="11"/>
  </r>
  <r>
    <s v="CUST004"/>
    <s v="Linda Wilson"/>
    <s v="East"/>
    <s v="Books"/>
    <x v="178"/>
    <n v="6"/>
    <n v="0"/>
    <d v="2025-03-02T00:00:00"/>
    <n v="439.88"/>
    <x v="11"/>
  </r>
  <r>
    <s v="CUST028"/>
    <s v="Sarah Davis"/>
    <s v="North"/>
    <s v="Books"/>
    <x v="179"/>
    <n v="8"/>
    <n v="0.1"/>
    <d v="2025-03-05T00:00:00"/>
    <n v="255.79"/>
    <x v="11"/>
  </r>
  <r>
    <s v="CUST028"/>
    <s v="Mary Wilson"/>
    <s v="North"/>
    <s v="Books"/>
    <x v="180"/>
    <n v="15"/>
    <n v="0.2"/>
    <d v="2025-03-08T00:00:00"/>
    <n v="159.74"/>
    <x v="11"/>
  </r>
  <r>
    <s v="CUST014"/>
    <s v="Emma Davis"/>
    <s v="South"/>
    <s v="Books"/>
    <x v="181"/>
    <n v="18"/>
    <n v="0.05"/>
    <d v="2025-03-09T00:00:00"/>
    <n v="404.39"/>
    <x v="11"/>
  </r>
  <r>
    <s v="CUST003"/>
    <s v="Emma Davis"/>
    <s v="East"/>
    <s v="Office Supplies"/>
    <x v="182"/>
    <n v="18"/>
    <n v="0.05"/>
    <d v="2025-03-10T00:00:00"/>
    <n v="187.57"/>
    <x v="11"/>
  </r>
  <r>
    <s v="CUST029"/>
    <s v="David Brown"/>
    <s v="West"/>
    <s v="Clothing"/>
    <x v="183"/>
    <n v="2"/>
    <n v="0.05"/>
    <d v="2025-03-11T00:00:00"/>
    <n v="410.87"/>
    <x v="11"/>
  </r>
  <r>
    <s v="CUST021"/>
    <s v="David Brown"/>
    <s v="West"/>
    <s v="Furniture"/>
    <x v="184"/>
    <n v="14"/>
    <n v="0.2"/>
    <d v="2025-03-17T00:00:00"/>
    <n v="275.77999999999997"/>
    <x v="11"/>
  </r>
  <r>
    <s v="CUST007"/>
    <s v="David Brown"/>
    <s v="West"/>
    <s v="Clothing"/>
    <x v="185"/>
    <n v="18"/>
    <n v="0"/>
    <d v="2025-03-18T00:00:00"/>
    <n v="746.74"/>
    <x v="11"/>
  </r>
  <r>
    <s v="CUST009"/>
    <s v="Linda Taylor"/>
    <s v="South"/>
    <s v="Clothing"/>
    <x v="186"/>
    <n v="9"/>
    <n v="0.1"/>
    <d v="2025-03-20T00:00:00"/>
    <n v="310.24"/>
    <x v="11"/>
  </r>
  <r>
    <s v="CUST023"/>
    <s v="Mary Wilson"/>
    <s v="South"/>
    <s v="Clothing"/>
    <x v="187"/>
    <n v="1"/>
    <n v="0"/>
    <d v="2025-03-22T00:00:00"/>
    <n v="341.12"/>
    <x v="11"/>
  </r>
  <r>
    <s v="CUST029"/>
    <s v="Michael Anderson"/>
    <s v="North"/>
    <s v="Electronics"/>
    <x v="188"/>
    <n v="15"/>
    <n v="0.2"/>
    <d v="2025-03-25T00:00:00"/>
    <n v="91.71"/>
    <x v="11"/>
  </r>
  <r>
    <s v="CUST009"/>
    <s v="Michael Anderson"/>
    <s v="South"/>
    <s v="Furniture"/>
    <x v="189"/>
    <n v="11"/>
    <n v="0.2"/>
    <d v="2025-03-26T00:00:00"/>
    <n v="331.59"/>
    <x v="11"/>
  </r>
  <r>
    <s v="CUST007"/>
    <s v="James Davis"/>
    <s v="South"/>
    <s v="Clothing"/>
    <x v="190"/>
    <n v="9"/>
    <n v="0"/>
    <d v="2025-03-27T00:00:00"/>
    <n v="381.07"/>
    <x v="11"/>
  </r>
  <r>
    <s v="CUST030"/>
    <s v="Linda Taylor"/>
    <s v="North"/>
    <s v="Books"/>
    <x v="191"/>
    <n v="10"/>
    <n v="0.15"/>
    <d v="2025-03-27T00:00:00"/>
    <n v="255.24"/>
    <x v="11"/>
  </r>
  <r>
    <s v="CUST018"/>
    <s v="David Anderson"/>
    <s v="Central"/>
    <s v="Clothing"/>
    <x v="192"/>
    <n v="14"/>
    <n v="0.05"/>
    <d v="2025-03-29T00:00:00"/>
    <n v="692.05"/>
    <x v="11"/>
  </r>
  <r>
    <s v="CUST008"/>
    <s v="Emma Wilson"/>
    <s v="East"/>
    <s v="Furniture"/>
    <x v="193"/>
    <n v="17"/>
    <n v="0.1"/>
    <d v="2025-03-29T00:00:00"/>
    <n v="344.41"/>
    <x v="11"/>
  </r>
  <r>
    <s v="CUST014"/>
    <s v="Sarah Anderson"/>
    <s v="West"/>
    <s v="Clothing"/>
    <x v="194"/>
    <n v="8"/>
    <n v="0.15"/>
    <d v="2025-03-30T00:00:00"/>
    <n v="397.06"/>
    <x v="11"/>
  </r>
  <r>
    <s v="CUST024"/>
    <s v="David Thomas"/>
    <s v="Central"/>
    <s v="Clothing"/>
    <x v="195"/>
    <n v="8"/>
    <n v="0.2"/>
    <d v="2025-03-30T00:00:00"/>
    <n v="586.14"/>
    <x v="11"/>
  </r>
  <r>
    <s v="CUST028"/>
    <s v="Robert Anderson"/>
    <s v="South"/>
    <s v="Office Supplies"/>
    <x v="196"/>
    <n v="3"/>
    <n v="0"/>
    <d v="2025-04-02T00:00:00"/>
    <n v="333.36"/>
    <x v="12"/>
  </r>
  <r>
    <s v="CUST015"/>
    <s v="Sarah Anderson"/>
    <s v="West"/>
    <s v="Office Supplies"/>
    <x v="197"/>
    <n v="17"/>
    <n v="0"/>
    <d v="2025-04-05T00:00:00"/>
    <n v="245.45"/>
    <x v="12"/>
  </r>
  <r>
    <s v="CUST010"/>
    <s v="David Thomas"/>
    <s v="East"/>
    <s v="Books"/>
    <x v="198"/>
    <n v="8"/>
    <n v="0.05"/>
    <d v="2025-04-05T00:00:00"/>
    <n v="379.09"/>
    <x v="12"/>
  </r>
  <r>
    <s v="CUST016"/>
    <s v="David Thomas"/>
    <s v="South"/>
    <s v="Clothing"/>
    <x v="199"/>
    <n v="2"/>
    <n v="0.05"/>
    <d v="2025-04-07T00:00:00"/>
    <n v="440.95"/>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x v="0"/>
    <x v="0"/>
    <n v="0.2"/>
    <x v="0"/>
    <x v="0"/>
  </r>
  <r>
    <s v="CUST012"/>
    <s v="Robert Anderson"/>
    <x v="0"/>
    <x v="1"/>
    <x v="1"/>
    <x v="1"/>
    <n v="0.2"/>
    <x v="1"/>
    <x v="1"/>
  </r>
  <r>
    <s v="CUST017"/>
    <s v="James Taylor"/>
    <x v="1"/>
    <x v="0"/>
    <x v="2"/>
    <x v="2"/>
    <n v="0"/>
    <x v="2"/>
    <x v="2"/>
  </r>
  <r>
    <s v="CUST005"/>
    <s v="Robert Anderson"/>
    <x v="2"/>
    <x v="2"/>
    <x v="3"/>
    <x v="0"/>
    <n v="0.15"/>
    <x v="2"/>
    <x v="3"/>
  </r>
  <r>
    <s v="CUST030"/>
    <s v="James Wilson"/>
    <x v="3"/>
    <x v="0"/>
    <x v="4"/>
    <x v="3"/>
    <n v="0.2"/>
    <x v="3"/>
    <x v="4"/>
  </r>
  <r>
    <s v="CUST007"/>
    <s v="Michael Anderson"/>
    <x v="3"/>
    <x v="3"/>
    <x v="5"/>
    <x v="4"/>
    <n v="0.1"/>
    <x v="4"/>
    <x v="5"/>
  </r>
  <r>
    <s v="CUST001"/>
    <s v="Linda Wilson"/>
    <x v="0"/>
    <x v="2"/>
    <x v="6"/>
    <x v="3"/>
    <n v="0.05"/>
    <x v="4"/>
    <x v="6"/>
  </r>
  <r>
    <s v="CUST026"/>
    <s v="Mary Davis"/>
    <x v="1"/>
    <x v="3"/>
    <x v="7"/>
    <x v="5"/>
    <n v="0.2"/>
    <x v="5"/>
    <x v="7"/>
  </r>
  <r>
    <s v="CUST009"/>
    <s v="Linda Jackson"/>
    <x v="4"/>
    <x v="0"/>
    <x v="8"/>
    <x v="6"/>
    <n v="0.05"/>
    <x v="5"/>
    <x v="8"/>
  </r>
  <r>
    <s v="CUST010"/>
    <s v="David Thomas"/>
    <x v="4"/>
    <x v="1"/>
    <x v="9"/>
    <x v="7"/>
    <n v="0.05"/>
    <x v="5"/>
    <x v="9"/>
  </r>
  <r>
    <s v="CUST014"/>
    <s v="Emma Davis"/>
    <x v="0"/>
    <x v="4"/>
    <x v="10"/>
    <x v="5"/>
    <n v="0.05"/>
    <x v="6"/>
    <x v="10"/>
  </r>
  <r>
    <s v="CUST014"/>
    <s v="David Thomas"/>
    <x v="4"/>
    <x v="0"/>
    <x v="11"/>
    <x v="8"/>
    <n v="0.15"/>
    <x v="7"/>
    <x v="11"/>
  </r>
  <r>
    <s v="CUST007"/>
    <s v="Michael Anderson"/>
    <x v="4"/>
    <x v="0"/>
    <x v="12"/>
    <x v="8"/>
    <n v="0.05"/>
    <x v="8"/>
    <x v="12"/>
  </r>
  <r>
    <s v="CUST023"/>
    <s v="Robert Anderson"/>
    <x v="0"/>
    <x v="3"/>
    <x v="13"/>
    <x v="9"/>
    <n v="0.05"/>
    <x v="8"/>
    <x v="13"/>
  </r>
  <r>
    <s v="CUST029"/>
    <s v="David Smith"/>
    <x v="3"/>
    <x v="3"/>
    <x v="14"/>
    <x v="10"/>
    <n v="0.15"/>
    <x v="9"/>
    <x v="14"/>
  </r>
  <r>
    <s v="CUST005"/>
    <s v="Sarah Anderson"/>
    <x v="2"/>
    <x v="2"/>
    <x v="15"/>
    <x v="8"/>
    <n v="0.2"/>
    <x v="10"/>
    <x v="15"/>
  </r>
  <r>
    <s v="CUST008"/>
    <s v="Robert Anderson"/>
    <x v="2"/>
    <x v="0"/>
    <x v="16"/>
    <x v="11"/>
    <n v="0.15"/>
    <x v="11"/>
    <x v="16"/>
  </r>
  <r>
    <s v="CUST001"/>
    <s v="Lisa Thomas"/>
    <x v="0"/>
    <x v="0"/>
    <x v="17"/>
    <x v="0"/>
    <n v="0.2"/>
    <x v="11"/>
    <x v="17"/>
  </r>
  <r>
    <s v="CUST006"/>
    <s v="Mary Jackson"/>
    <x v="0"/>
    <x v="0"/>
    <x v="18"/>
    <x v="12"/>
    <n v="0.2"/>
    <x v="12"/>
    <x v="18"/>
  </r>
  <r>
    <s v="CUST026"/>
    <s v="Mary Davis"/>
    <x v="4"/>
    <x v="2"/>
    <x v="19"/>
    <x v="0"/>
    <n v="0"/>
    <x v="13"/>
    <x v="19"/>
  </r>
  <r>
    <s v="CUST007"/>
    <s v="Lisa Davis"/>
    <x v="2"/>
    <x v="1"/>
    <x v="20"/>
    <x v="6"/>
    <n v="0"/>
    <x v="14"/>
    <x v="20"/>
  </r>
  <r>
    <s v="CUST022"/>
    <s v="Robert Anderson"/>
    <x v="3"/>
    <x v="2"/>
    <x v="21"/>
    <x v="8"/>
    <n v="0.15"/>
    <x v="15"/>
    <x v="21"/>
  </r>
  <r>
    <s v="CUST019"/>
    <s v="Mary Davis"/>
    <x v="0"/>
    <x v="0"/>
    <x v="22"/>
    <x v="13"/>
    <n v="0"/>
    <x v="15"/>
    <x v="22"/>
  </r>
  <r>
    <s v="CUST023"/>
    <s v="Mary Davis"/>
    <x v="4"/>
    <x v="2"/>
    <x v="23"/>
    <x v="5"/>
    <n v="0"/>
    <x v="15"/>
    <x v="23"/>
  </r>
  <r>
    <s v="CUST012"/>
    <s v="Mary Davis"/>
    <x v="4"/>
    <x v="4"/>
    <x v="24"/>
    <x v="4"/>
    <n v="0.1"/>
    <x v="16"/>
    <x v="24"/>
  </r>
  <r>
    <s v="CUST010"/>
    <s v="Linda Brown"/>
    <x v="2"/>
    <x v="2"/>
    <x v="25"/>
    <x v="14"/>
    <n v="0"/>
    <x v="16"/>
    <x v="25"/>
  </r>
  <r>
    <s v="CUST030"/>
    <s v="John Brown"/>
    <x v="3"/>
    <x v="3"/>
    <x v="26"/>
    <x v="2"/>
    <n v="0"/>
    <x v="17"/>
    <x v="26"/>
  </r>
  <r>
    <s v="CUST007"/>
    <s v="Robert Anderson"/>
    <x v="4"/>
    <x v="0"/>
    <x v="27"/>
    <x v="7"/>
    <n v="0.05"/>
    <x v="18"/>
    <x v="27"/>
  </r>
  <r>
    <s v="CUST028"/>
    <s v="Linda Taylor"/>
    <x v="1"/>
    <x v="4"/>
    <x v="28"/>
    <x v="15"/>
    <n v="0.1"/>
    <x v="19"/>
    <x v="28"/>
  </r>
  <r>
    <s v="CUST028"/>
    <s v="James Wilson"/>
    <x v="2"/>
    <x v="2"/>
    <x v="29"/>
    <x v="1"/>
    <n v="0.2"/>
    <x v="19"/>
    <x v="29"/>
  </r>
  <r>
    <s v="CUST025"/>
    <s v="David Brown"/>
    <x v="3"/>
    <x v="2"/>
    <x v="30"/>
    <x v="16"/>
    <n v="0.1"/>
    <x v="20"/>
    <x v="30"/>
  </r>
  <r>
    <s v="CUST022"/>
    <s v="David Davis"/>
    <x v="4"/>
    <x v="0"/>
    <x v="31"/>
    <x v="14"/>
    <n v="0.05"/>
    <x v="21"/>
    <x v="31"/>
  </r>
  <r>
    <s v="CUST001"/>
    <s v="Mary Jackson"/>
    <x v="0"/>
    <x v="3"/>
    <x v="32"/>
    <x v="16"/>
    <n v="0.15"/>
    <x v="21"/>
    <x v="32"/>
  </r>
  <r>
    <s v="CUST021"/>
    <s v="Sarah Anderson"/>
    <x v="2"/>
    <x v="2"/>
    <x v="33"/>
    <x v="11"/>
    <n v="0.1"/>
    <x v="22"/>
    <x v="33"/>
  </r>
  <r>
    <s v="CUST015"/>
    <s v="Linda Taylor"/>
    <x v="3"/>
    <x v="4"/>
    <x v="34"/>
    <x v="8"/>
    <n v="0.05"/>
    <x v="22"/>
    <x v="34"/>
  </r>
  <r>
    <s v="CUST012"/>
    <s v="Michael Anderson"/>
    <x v="0"/>
    <x v="0"/>
    <x v="35"/>
    <x v="3"/>
    <n v="0.2"/>
    <x v="22"/>
    <x v="35"/>
  </r>
  <r>
    <s v="CUST019"/>
    <s v="David Brown"/>
    <x v="1"/>
    <x v="4"/>
    <x v="36"/>
    <x v="13"/>
    <n v="0.05"/>
    <x v="22"/>
    <x v="36"/>
  </r>
  <r>
    <s v="CUST028"/>
    <s v="Lisa Davis"/>
    <x v="4"/>
    <x v="3"/>
    <x v="37"/>
    <x v="6"/>
    <n v="0.05"/>
    <x v="23"/>
    <x v="37"/>
  </r>
  <r>
    <s v="CUST008"/>
    <s v="Mary Wilson"/>
    <x v="4"/>
    <x v="3"/>
    <x v="38"/>
    <x v="12"/>
    <n v="0.15"/>
    <x v="23"/>
    <x v="38"/>
  </r>
  <r>
    <s v="CUST016"/>
    <s v="Emma Wilson"/>
    <x v="1"/>
    <x v="0"/>
    <x v="39"/>
    <x v="15"/>
    <n v="0.15"/>
    <x v="24"/>
    <x v="39"/>
  </r>
  <r>
    <s v="CUST005"/>
    <s v="David Smith"/>
    <x v="2"/>
    <x v="0"/>
    <x v="40"/>
    <x v="10"/>
    <n v="0.1"/>
    <x v="25"/>
    <x v="40"/>
  </r>
  <r>
    <s v="CUST028"/>
    <s v="James Wilson"/>
    <x v="4"/>
    <x v="4"/>
    <x v="41"/>
    <x v="16"/>
    <n v="0.2"/>
    <x v="26"/>
    <x v="41"/>
  </r>
  <r>
    <s v="CUST023"/>
    <s v="David Davis"/>
    <x v="1"/>
    <x v="4"/>
    <x v="42"/>
    <x v="6"/>
    <n v="0.15"/>
    <x v="26"/>
    <x v="42"/>
  </r>
  <r>
    <s v="CUST021"/>
    <s v="James Wilson"/>
    <x v="4"/>
    <x v="0"/>
    <x v="43"/>
    <x v="15"/>
    <n v="0.1"/>
    <x v="27"/>
    <x v="43"/>
  </r>
  <r>
    <s v="CUST026"/>
    <s v="Emma Wilson"/>
    <x v="3"/>
    <x v="3"/>
    <x v="44"/>
    <x v="3"/>
    <n v="0.15"/>
    <x v="27"/>
    <x v="44"/>
  </r>
  <r>
    <s v="CUST017"/>
    <s v="Linda Davis"/>
    <x v="4"/>
    <x v="2"/>
    <x v="45"/>
    <x v="7"/>
    <n v="0"/>
    <x v="28"/>
    <x v="45"/>
  </r>
  <r>
    <s v="CUST025"/>
    <s v="David Davis"/>
    <x v="4"/>
    <x v="4"/>
    <x v="46"/>
    <x v="4"/>
    <n v="0.15"/>
    <x v="28"/>
    <x v="46"/>
  </r>
  <r>
    <s v="CUST011"/>
    <s v="Mary Davis"/>
    <x v="3"/>
    <x v="4"/>
    <x v="47"/>
    <x v="3"/>
    <n v="0"/>
    <x v="29"/>
    <x v="47"/>
  </r>
  <r>
    <s v="CUST021"/>
    <s v="Michael Anderson"/>
    <x v="1"/>
    <x v="3"/>
    <x v="48"/>
    <x v="15"/>
    <n v="0.2"/>
    <x v="30"/>
    <x v="48"/>
  </r>
  <r>
    <s v="CUST008"/>
    <s v="John Brown"/>
    <x v="2"/>
    <x v="2"/>
    <x v="49"/>
    <x v="5"/>
    <n v="0.1"/>
    <x v="31"/>
    <x v="49"/>
  </r>
  <r>
    <s v="CUST007"/>
    <s v="Linda Jackson"/>
    <x v="2"/>
    <x v="2"/>
    <x v="50"/>
    <x v="5"/>
    <n v="0.05"/>
    <x v="32"/>
    <x v="50"/>
  </r>
  <r>
    <s v="CUST015"/>
    <s v="James Wilson"/>
    <x v="2"/>
    <x v="1"/>
    <x v="51"/>
    <x v="9"/>
    <n v="0.1"/>
    <x v="33"/>
    <x v="51"/>
  </r>
  <r>
    <s v="CUST030"/>
    <s v="Sarah Davis"/>
    <x v="2"/>
    <x v="3"/>
    <x v="52"/>
    <x v="7"/>
    <n v="0"/>
    <x v="34"/>
    <x v="52"/>
  </r>
  <r>
    <s v="CUST002"/>
    <s v="Lisa Davis"/>
    <x v="0"/>
    <x v="0"/>
    <x v="53"/>
    <x v="14"/>
    <n v="0.1"/>
    <x v="35"/>
    <x v="53"/>
  </r>
  <r>
    <s v="CUST009"/>
    <s v="Emma Davis"/>
    <x v="3"/>
    <x v="2"/>
    <x v="54"/>
    <x v="10"/>
    <n v="0.15"/>
    <x v="36"/>
    <x v="54"/>
  </r>
  <r>
    <s v="CUST005"/>
    <s v="Robert Anderson"/>
    <x v="2"/>
    <x v="3"/>
    <x v="55"/>
    <x v="11"/>
    <n v="0.2"/>
    <x v="36"/>
    <x v="55"/>
  </r>
  <r>
    <s v="CUST030"/>
    <s v="Emma Taylor"/>
    <x v="4"/>
    <x v="0"/>
    <x v="56"/>
    <x v="6"/>
    <n v="0"/>
    <x v="37"/>
    <x v="56"/>
  </r>
  <r>
    <s v="CUST029"/>
    <s v="Sarah Davis"/>
    <x v="3"/>
    <x v="2"/>
    <x v="57"/>
    <x v="17"/>
    <n v="0.2"/>
    <x v="38"/>
    <x v="57"/>
  </r>
  <r>
    <s v="CUST003"/>
    <s v="Emma Davis"/>
    <x v="3"/>
    <x v="0"/>
    <x v="58"/>
    <x v="7"/>
    <n v="0.1"/>
    <x v="39"/>
    <x v="58"/>
  </r>
  <r>
    <s v="CUST012"/>
    <s v="Mary Wilson"/>
    <x v="0"/>
    <x v="1"/>
    <x v="59"/>
    <x v="2"/>
    <n v="0"/>
    <x v="39"/>
    <x v="59"/>
  </r>
  <r>
    <s v="CUST021"/>
    <s v="Mary Davis"/>
    <x v="1"/>
    <x v="0"/>
    <x v="60"/>
    <x v="4"/>
    <n v="0.1"/>
    <x v="40"/>
    <x v="60"/>
  </r>
  <r>
    <s v="CUST010"/>
    <s v="David Brown"/>
    <x v="4"/>
    <x v="4"/>
    <x v="61"/>
    <x v="13"/>
    <n v="0"/>
    <x v="41"/>
    <x v="61"/>
  </r>
  <r>
    <s v="CUST026"/>
    <s v="Mary Davis"/>
    <x v="1"/>
    <x v="3"/>
    <x v="62"/>
    <x v="2"/>
    <n v="0.1"/>
    <x v="42"/>
    <x v="62"/>
  </r>
  <r>
    <s v="CUST003"/>
    <s v="James Davis"/>
    <x v="0"/>
    <x v="2"/>
    <x v="63"/>
    <x v="2"/>
    <n v="0.2"/>
    <x v="42"/>
    <x v="63"/>
  </r>
  <r>
    <s v="CUST029"/>
    <s v="Emma Wilson"/>
    <x v="2"/>
    <x v="2"/>
    <x v="64"/>
    <x v="16"/>
    <n v="0.05"/>
    <x v="43"/>
    <x v="64"/>
  </r>
  <r>
    <s v="CUST003"/>
    <s v="James Wilson"/>
    <x v="3"/>
    <x v="3"/>
    <x v="65"/>
    <x v="10"/>
    <n v="0.15"/>
    <x v="44"/>
    <x v="65"/>
  </r>
  <r>
    <s v="CUST002"/>
    <s v="Mary Davis"/>
    <x v="2"/>
    <x v="0"/>
    <x v="66"/>
    <x v="3"/>
    <n v="0.05"/>
    <x v="45"/>
    <x v="66"/>
  </r>
  <r>
    <s v="CUST020"/>
    <s v="David Brown"/>
    <x v="0"/>
    <x v="3"/>
    <x v="67"/>
    <x v="16"/>
    <n v="0.05"/>
    <x v="45"/>
    <x v="67"/>
  </r>
  <r>
    <s v="CUST021"/>
    <s v="Mary Jackson"/>
    <x v="3"/>
    <x v="2"/>
    <x v="68"/>
    <x v="6"/>
    <n v="0.05"/>
    <x v="46"/>
    <x v="68"/>
  </r>
  <r>
    <s v="CUST008"/>
    <s v="James Davis"/>
    <x v="4"/>
    <x v="4"/>
    <x v="69"/>
    <x v="17"/>
    <n v="0.05"/>
    <x v="47"/>
    <x v="69"/>
  </r>
  <r>
    <s v="CUST030"/>
    <s v="David Brown"/>
    <x v="4"/>
    <x v="2"/>
    <x v="70"/>
    <x v="17"/>
    <n v="0.05"/>
    <x v="48"/>
    <x v="70"/>
  </r>
  <r>
    <s v="CUST020"/>
    <s v="Linda Moore"/>
    <x v="2"/>
    <x v="4"/>
    <x v="71"/>
    <x v="15"/>
    <n v="0"/>
    <x v="49"/>
    <x v="71"/>
  </r>
  <r>
    <s v="CUST024"/>
    <s v="David Brown"/>
    <x v="1"/>
    <x v="2"/>
    <x v="72"/>
    <x v="11"/>
    <n v="0.15"/>
    <x v="50"/>
    <x v="72"/>
  </r>
  <r>
    <s v="CUST012"/>
    <s v="David Anderson"/>
    <x v="2"/>
    <x v="0"/>
    <x v="73"/>
    <x v="16"/>
    <n v="0.2"/>
    <x v="50"/>
    <x v="73"/>
  </r>
  <r>
    <s v="CUST024"/>
    <s v="Emma Davis"/>
    <x v="0"/>
    <x v="2"/>
    <x v="74"/>
    <x v="12"/>
    <n v="0.2"/>
    <x v="51"/>
    <x v="74"/>
  </r>
  <r>
    <s v="CUST012"/>
    <s v="Linda Wilson"/>
    <x v="0"/>
    <x v="2"/>
    <x v="75"/>
    <x v="16"/>
    <n v="0.15"/>
    <x v="52"/>
    <x v="75"/>
  </r>
  <r>
    <s v="CUST005"/>
    <s v="Linda Taylor"/>
    <x v="4"/>
    <x v="3"/>
    <x v="76"/>
    <x v="1"/>
    <n v="0"/>
    <x v="53"/>
    <x v="76"/>
  </r>
  <r>
    <s v="CUST004"/>
    <s v="Lisa Thomas"/>
    <x v="3"/>
    <x v="3"/>
    <x v="77"/>
    <x v="9"/>
    <n v="0.05"/>
    <x v="54"/>
    <x v="77"/>
  </r>
  <r>
    <s v="CUST026"/>
    <s v="Linda Wilson"/>
    <x v="0"/>
    <x v="4"/>
    <x v="78"/>
    <x v="17"/>
    <n v="0"/>
    <x v="55"/>
    <x v="78"/>
  </r>
  <r>
    <s v="CUST030"/>
    <s v="Mary Davis"/>
    <x v="1"/>
    <x v="1"/>
    <x v="79"/>
    <x v="14"/>
    <n v="0.1"/>
    <x v="56"/>
    <x v="79"/>
  </r>
  <r>
    <s v="CUST007"/>
    <s v="David Brown"/>
    <x v="3"/>
    <x v="0"/>
    <x v="80"/>
    <x v="15"/>
    <n v="0"/>
    <x v="57"/>
    <x v="80"/>
  </r>
  <r>
    <s v="CUST020"/>
    <s v="Linda Jackson"/>
    <x v="1"/>
    <x v="3"/>
    <x v="81"/>
    <x v="2"/>
    <n v="0"/>
    <x v="57"/>
    <x v="81"/>
  </r>
  <r>
    <s v="CUST028"/>
    <s v="Linda Brown"/>
    <x v="4"/>
    <x v="2"/>
    <x v="82"/>
    <x v="9"/>
    <n v="0.1"/>
    <x v="58"/>
    <x v="82"/>
  </r>
  <r>
    <s v="CUST005"/>
    <s v="Lisa Davis"/>
    <x v="4"/>
    <x v="0"/>
    <x v="83"/>
    <x v="9"/>
    <n v="0.05"/>
    <x v="58"/>
    <x v="83"/>
  </r>
  <r>
    <s v="CUST015"/>
    <s v="David Thomas"/>
    <x v="0"/>
    <x v="1"/>
    <x v="84"/>
    <x v="0"/>
    <n v="0.1"/>
    <x v="59"/>
    <x v="84"/>
  </r>
  <r>
    <s v="CUST003"/>
    <s v="James Davis"/>
    <x v="2"/>
    <x v="2"/>
    <x v="85"/>
    <x v="2"/>
    <n v="0"/>
    <x v="59"/>
    <x v="85"/>
  </r>
  <r>
    <s v="CUST023"/>
    <s v="David Brown"/>
    <x v="1"/>
    <x v="3"/>
    <x v="86"/>
    <x v="13"/>
    <n v="0"/>
    <x v="60"/>
    <x v="86"/>
  </r>
  <r>
    <s v="CUST004"/>
    <s v="Sarah Davis"/>
    <x v="0"/>
    <x v="4"/>
    <x v="87"/>
    <x v="15"/>
    <n v="0"/>
    <x v="61"/>
    <x v="87"/>
  </r>
  <r>
    <s v="CUST023"/>
    <s v="James Wilson"/>
    <x v="1"/>
    <x v="4"/>
    <x v="88"/>
    <x v="6"/>
    <n v="0.15"/>
    <x v="62"/>
    <x v="88"/>
  </r>
  <r>
    <s v="CUST022"/>
    <s v="Linda Brown"/>
    <x v="2"/>
    <x v="0"/>
    <x v="89"/>
    <x v="18"/>
    <n v="0.05"/>
    <x v="62"/>
    <x v="89"/>
  </r>
  <r>
    <s v="CUST007"/>
    <s v="Emma Taylor"/>
    <x v="0"/>
    <x v="3"/>
    <x v="90"/>
    <x v="0"/>
    <n v="0.1"/>
    <x v="63"/>
    <x v="90"/>
  </r>
  <r>
    <s v="CUST013"/>
    <s v="Robert Anderson"/>
    <x v="2"/>
    <x v="3"/>
    <x v="91"/>
    <x v="17"/>
    <n v="0.1"/>
    <x v="64"/>
    <x v="91"/>
  </r>
  <r>
    <s v="CUST027"/>
    <s v="Emma Davis"/>
    <x v="1"/>
    <x v="4"/>
    <x v="92"/>
    <x v="12"/>
    <n v="0.15"/>
    <x v="64"/>
    <x v="92"/>
  </r>
  <r>
    <s v="CUST003"/>
    <s v="James Wilson"/>
    <x v="0"/>
    <x v="2"/>
    <x v="93"/>
    <x v="15"/>
    <n v="0.2"/>
    <x v="65"/>
    <x v="93"/>
  </r>
  <r>
    <s v="CUST018"/>
    <s v="Mary Jackson"/>
    <x v="2"/>
    <x v="0"/>
    <x v="94"/>
    <x v="7"/>
    <n v="0.15"/>
    <x v="66"/>
    <x v="94"/>
  </r>
  <r>
    <s v="CUST020"/>
    <s v="James Taylor"/>
    <x v="2"/>
    <x v="0"/>
    <x v="95"/>
    <x v="5"/>
    <n v="0"/>
    <x v="67"/>
    <x v="95"/>
  </r>
  <r>
    <s v="CUST029"/>
    <s v="Emma Wilson"/>
    <x v="0"/>
    <x v="3"/>
    <x v="96"/>
    <x v="9"/>
    <n v="0.15"/>
    <x v="68"/>
    <x v="96"/>
  </r>
  <r>
    <s v="CUST021"/>
    <s v="James Wilson"/>
    <x v="3"/>
    <x v="1"/>
    <x v="97"/>
    <x v="6"/>
    <n v="0.1"/>
    <x v="68"/>
    <x v="97"/>
  </r>
  <r>
    <s v="CUST017"/>
    <s v="Sarah Davis"/>
    <x v="0"/>
    <x v="4"/>
    <x v="98"/>
    <x v="11"/>
    <n v="0.2"/>
    <x v="69"/>
    <x v="98"/>
  </r>
  <r>
    <s v="CUST003"/>
    <s v="James Wilson"/>
    <x v="4"/>
    <x v="1"/>
    <x v="99"/>
    <x v="3"/>
    <n v="0"/>
    <x v="69"/>
    <x v="99"/>
  </r>
  <r>
    <s v="CUST027"/>
    <s v="Emma Davis"/>
    <x v="3"/>
    <x v="0"/>
    <x v="100"/>
    <x v="2"/>
    <n v="0.1"/>
    <x v="70"/>
    <x v="100"/>
  </r>
  <r>
    <s v="CUST016"/>
    <s v="Michael Anderson"/>
    <x v="3"/>
    <x v="1"/>
    <x v="101"/>
    <x v="4"/>
    <n v="0.1"/>
    <x v="70"/>
    <x v="101"/>
  </r>
  <r>
    <s v="CUST008"/>
    <s v="David Davis"/>
    <x v="4"/>
    <x v="2"/>
    <x v="102"/>
    <x v="12"/>
    <n v="0.2"/>
    <x v="71"/>
    <x v="102"/>
  </r>
  <r>
    <s v="CUST012"/>
    <s v="Lisa Davis"/>
    <x v="3"/>
    <x v="2"/>
    <x v="103"/>
    <x v="2"/>
    <n v="0"/>
    <x v="72"/>
    <x v="103"/>
  </r>
  <r>
    <s v="CUST025"/>
    <s v="Mary Jackson"/>
    <x v="1"/>
    <x v="3"/>
    <x v="104"/>
    <x v="4"/>
    <n v="0"/>
    <x v="73"/>
    <x v="104"/>
  </r>
  <r>
    <s v="CUST014"/>
    <s v="Sarah Davis"/>
    <x v="2"/>
    <x v="0"/>
    <x v="105"/>
    <x v="4"/>
    <n v="0.2"/>
    <x v="74"/>
    <x v="105"/>
  </r>
  <r>
    <s v="CUST008"/>
    <s v="James Wilson"/>
    <x v="1"/>
    <x v="0"/>
    <x v="106"/>
    <x v="15"/>
    <n v="0.15"/>
    <x v="74"/>
    <x v="106"/>
  </r>
  <r>
    <s v="CUST015"/>
    <s v="James Wilson"/>
    <x v="0"/>
    <x v="1"/>
    <x v="107"/>
    <x v="13"/>
    <n v="0.2"/>
    <x v="75"/>
    <x v="107"/>
  </r>
  <r>
    <s v="CUST025"/>
    <s v="Emma Taylor"/>
    <x v="4"/>
    <x v="1"/>
    <x v="108"/>
    <x v="8"/>
    <n v="0.1"/>
    <x v="76"/>
    <x v="108"/>
  </r>
  <r>
    <s v="CUST019"/>
    <s v="Linda Jackson"/>
    <x v="4"/>
    <x v="1"/>
    <x v="109"/>
    <x v="9"/>
    <n v="0.15"/>
    <x v="76"/>
    <x v="109"/>
  </r>
  <r>
    <s v="CUST024"/>
    <s v="Emma Taylor"/>
    <x v="1"/>
    <x v="0"/>
    <x v="110"/>
    <x v="18"/>
    <n v="0.1"/>
    <x v="77"/>
    <x v="110"/>
  </r>
  <r>
    <s v="CUST027"/>
    <s v="James Wilson"/>
    <x v="0"/>
    <x v="1"/>
    <x v="111"/>
    <x v="2"/>
    <n v="0.1"/>
    <x v="78"/>
    <x v="111"/>
  </r>
  <r>
    <s v="CUST006"/>
    <s v="David Anderson"/>
    <x v="0"/>
    <x v="3"/>
    <x v="112"/>
    <x v="17"/>
    <n v="0.15"/>
    <x v="78"/>
    <x v="112"/>
  </r>
  <r>
    <s v="CUST009"/>
    <s v="Emma Davis"/>
    <x v="2"/>
    <x v="2"/>
    <x v="113"/>
    <x v="17"/>
    <n v="0"/>
    <x v="79"/>
    <x v="113"/>
  </r>
  <r>
    <s v="CUST003"/>
    <s v="Linda Moore"/>
    <x v="3"/>
    <x v="1"/>
    <x v="114"/>
    <x v="17"/>
    <n v="0.2"/>
    <x v="80"/>
    <x v="114"/>
  </r>
  <r>
    <s v="CUST012"/>
    <s v="David Brown"/>
    <x v="0"/>
    <x v="2"/>
    <x v="115"/>
    <x v="10"/>
    <n v="0"/>
    <x v="81"/>
    <x v="115"/>
  </r>
  <r>
    <s v="CUST013"/>
    <s v="Linda Wilson"/>
    <x v="4"/>
    <x v="0"/>
    <x v="116"/>
    <x v="0"/>
    <n v="0.05"/>
    <x v="82"/>
    <x v="116"/>
  </r>
  <r>
    <s v="CUST008"/>
    <s v="James Wilson"/>
    <x v="1"/>
    <x v="4"/>
    <x v="117"/>
    <x v="8"/>
    <n v="0.05"/>
    <x v="83"/>
    <x v="117"/>
  </r>
  <r>
    <s v="CUST025"/>
    <s v="Lisa Davis"/>
    <x v="1"/>
    <x v="0"/>
    <x v="118"/>
    <x v="7"/>
    <n v="0.15"/>
    <x v="84"/>
    <x v="118"/>
  </r>
  <r>
    <s v="CUST026"/>
    <s v="Mary Wilson"/>
    <x v="3"/>
    <x v="3"/>
    <x v="119"/>
    <x v="0"/>
    <n v="0.05"/>
    <x v="84"/>
    <x v="119"/>
  </r>
  <r>
    <s v="CUST001"/>
    <s v="Lisa Thomas"/>
    <x v="3"/>
    <x v="3"/>
    <x v="120"/>
    <x v="1"/>
    <n v="0.05"/>
    <x v="85"/>
    <x v="120"/>
  </r>
  <r>
    <s v="CUST028"/>
    <s v="Linda Brown"/>
    <x v="2"/>
    <x v="1"/>
    <x v="121"/>
    <x v="16"/>
    <n v="0"/>
    <x v="86"/>
    <x v="121"/>
  </r>
  <r>
    <s v="CUST025"/>
    <s v="Lisa Thomas"/>
    <x v="1"/>
    <x v="4"/>
    <x v="122"/>
    <x v="11"/>
    <n v="0.1"/>
    <x v="87"/>
    <x v="122"/>
  </r>
  <r>
    <s v="CUST019"/>
    <s v="James Taylor"/>
    <x v="2"/>
    <x v="2"/>
    <x v="123"/>
    <x v="8"/>
    <n v="0"/>
    <x v="88"/>
    <x v="123"/>
  </r>
  <r>
    <s v="CUST004"/>
    <s v="James Taylor"/>
    <x v="4"/>
    <x v="1"/>
    <x v="124"/>
    <x v="14"/>
    <n v="0.2"/>
    <x v="88"/>
    <x v="124"/>
  </r>
  <r>
    <s v="CUST024"/>
    <s v="James Wilson"/>
    <x v="3"/>
    <x v="2"/>
    <x v="125"/>
    <x v="17"/>
    <n v="0.15"/>
    <x v="88"/>
    <x v="125"/>
  </r>
  <r>
    <s v="CUST002"/>
    <s v="Linda Brown"/>
    <x v="1"/>
    <x v="2"/>
    <x v="126"/>
    <x v="10"/>
    <n v="0"/>
    <x v="89"/>
    <x v="126"/>
  </r>
  <r>
    <s v="CUST009"/>
    <s v="Emma Wilson"/>
    <x v="2"/>
    <x v="3"/>
    <x v="127"/>
    <x v="11"/>
    <n v="0"/>
    <x v="89"/>
    <x v="127"/>
  </r>
  <r>
    <s v="CUST029"/>
    <s v="Lisa Thomas"/>
    <x v="1"/>
    <x v="2"/>
    <x v="128"/>
    <x v="0"/>
    <n v="0.15"/>
    <x v="89"/>
    <x v="128"/>
  </r>
  <r>
    <s v="CUST027"/>
    <s v="James Wilson"/>
    <x v="0"/>
    <x v="2"/>
    <x v="129"/>
    <x v="15"/>
    <n v="0"/>
    <x v="90"/>
    <x v="129"/>
  </r>
  <r>
    <s v="CUST011"/>
    <s v="Emma Wilson"/>
    <x v="1"/>
    <x v="0"/>
    <x v="130"/>
    <x v="16"/>
    <n v="0.05"/>
    <x v="90"/>
    <x v="130"/>
  </r>
  <r>
    <s v="CUST021"/>
    <s v="Emma Davis"/>
    <x v="4"/>
    <x v="0"/>
    <x v="131"/>
    <x v="4"/>
    <n v="0.05"/>
    <x v="91"/>
    <x v="131"/>
  </r>
  <r>
    <s v="CUST014"/>
    <s v="David Anderson"/>
    <x v="2"/>
    <x v="3"/>
    <x v="132"/>
    <x v="4"/>
    <n v="0.1"/>
    <x v="91"/>
    <x v="132"/>
  </r>
  <r>
    <s v="CUST018"/>
    <s v="Lisa Thomas"/>
    <x v="2"/>
    <x v="2"/>
    <x v="133"/>
    <x v="17"/>
    <n v="0"/>
    <x v="92"/>
    <x v="133"/>
  </r>
  <r>
    <s v="CUST001"/>
    <s v="Sarah Anderson"/>
    <x v="0"/>
    <x v="2"/>
    <x v="134"/>
    <x v="15"/>
    <n v="0.2"/>
    <x v="93"/>
    <x v="134"/>
  </r>
  <r>
    <s v="CUST007"/>
    <s v="Emma Davis"/>
    <x v="3"/>
    <x v="4"/>
    <x v="135"/>
    <x v="1"/>
    <n v="0.05"/>
    <x v="94"/>
    <x v="135"/>
  </r>
  <r>
    <s v="CUST015"/>
    <s v="David Anderson"/>
    <x v="0"/>
    <x v="3"/>
    <x v="136"/>
    <x v="0"/>
    <n v="0.2"/>
    <x v="95"/>
    <x v="136"/>
  </r>
  <r>
    <s v="CUST015"/>
    <s v="Emma Davis"/>
    <x v="4"/>
    <x v="2"/>
    <x v="137"/>
    <x v="4"/>
    <n v="0.05"/>
    <x v="96"/>
    <x v="137"/>
  </r>
  <r>
    <s v="CUST002"/>
    <s v="Emma Wilson"/>
    <x v="2"/>
    <x v="3"/>
    <x v="138"/>
    <x v="15"/>
    <n v="0.05"/>
    <x v="97"/>
    <x v="138"/>
  </r>
  <r>
    <s v="CUST001"/>
    <s v="Michael Anderson"/>
    <x v="4"/>
    <x v="3"/>
    <x v="139"/>
    <x v="18"/>
    <n v="0.15"/>
    <x v="98"/>
    <x v="139"/>
  </r>
  <r>
    <s v="CUST027"/>
    <s v="Linda Wilson"/>
    <x v="4"/>
    <x v="2"/>
    <x v="140"/>
    <x v="11"/>
    <n v="0.15"/>
    <x v="98"/>
    <x v="140"/>
  </r>
  <r>
    <s v="CUST026"/>
    <s v="Emma Taylor"/>
    <x v="1"/>
    <x v="0"/>
    <x v="141"/>
    <x v="13"/>
    <n v="0"/>
    <x v="99"/>
    <x v="141"/>
  </r>
  <r>
    <s v="CUST026"/>
    <s v="Sarah Anderson"/>
    <x v="0"/>
    <x v="2"/>
    <x v="142"/>
    <x v="15"/>
    <n v="0.2"/>
    <x v="100"/>
    <x v="142"/>
  </r>
  <r>
    <s v="CUST022"/>
    <s v="Lisa Thomas"/>
    <x v="4"/>
    <x v="4"/>
    <x v="143"/>
    <x v="18"/>
    <n v="0.05"/>
    <x v="101"/>
    <x v="143"/>
  </r>
  <r>
    <s v="CUST004"/>
    <s v="Mary Davis"/>
    <x v="3"/>
    <x v="1"/>
    <x v="144"/>
    <x v="5"/>
    <n v="0.15"/>
    <x v="102"/>
    <x v="144"/>
  </r>
  <r>
    <s v="CUST001"/>
    <s v="David Anderson"/>
    <x v="3"/>
    <x v="1"/>
    <x v="145"/>
    <x v="12"/>
    <n v="0.2"/>
    <x v="102"/>
    <x v="145"/>
  </r>
  <r>
    <s v="CUST022"/>
    <s v="James Wilson"/>
    <x v="0"/>
    <x v="0"/>
    <x v="146"/>
    <x v="8"/>
    <n v="0.1"/>
    <x v="103"/>
    <x v="146"/>
  </r>
  <r>
    <s v="CUST011"/>
    <s v="Linda Moore"/>
    <x v="4"/>
    <x v="1"/>
    <x v="147"/>
    <x v="6"/>
    <n v="0.05"/>
    <x v="104"/>
    <x v="147"/>
  </r>
  <r>
    <s v="CUST028"/>
    <s v="Lisa Davis"/>
    <x v="3"/>
    <x v="4"/>
    <x v="148"/>
    <x v="17"/>
    <n v="0.2"/>
    <x v="104"/>
    <x v="148"/>
  </r>
  <r>
    <s v="CUST011"/>
    <s v="Linda Wilson"/>
    <x v="3"/>
    <x v="0"/>
    <x v="149"/>
    <x v="14"/>
    <n v="0.1"/>
    <x v="105"/>
    <x v="149"/>
  </r>
  <r>
    <s v="CUST028"/>
    <s v="James Wilson"/>
    <x v="4"/>
    <x v="4"/>
    <x v="150"/>
    <x v="11"/>
    <n v="0.1"/>
    <x v="106"/>
    <x v="150"/>
  </r>
  <r>
    <s v="CUST016"/>
    <s v="James Taylor"/>
    <x v="2"/>
    <x v="1"/>
    <x v="151"/>
    <x v="16"/>
    <n v="0.05"/>
    <x v="106"/>
    <x v="151"/>
  </r>
  <r>
    <s v="CUST010"/>
    <s v="Linda Wilson"/>
    <x v="0"/>
    <x v="3"/>
    <x v="152"/>
    <x v="14"/>
    <n v="0.05"/>
    <x v="107"/>
    <x v="152"/>
  </r>
  <r>
    <s v="CUST013"/>
    <s v="Mary Wilson"/>
    <x v="3"/>
    <x v="1"/>
    <x v="153"/>
    <x v="15"/>
    <n v="0.05"/>
    <x v="108"/>
    <x v="153"/>
  </r>
  <r>
    <s v="CUST015"/>
    <s v="Robert Anderson"/>
    <x v="2"/>
    <x v="3"/>
    <x v="154"/>
    <x v="6"/>
    <n v="0.1"/>
    <x v="109"/>
    <x v="154"/>
  </r>
  <r>
    <s v="CUST015"/>
    <s v="James Wilson"/>
    <x v="3"/>
    <x v="2"/>
    <x v="155"/>
    <x v="16"/>
    <n v="0.2"/>
    <x v="110"/>
    <x v="155"/>
  </r>
  <r>
    <s v="CUST015"/>
    <s v="David Thomas"/>
    <x v="0"/>
    <x v="1"/>
    <x v="156"/>
    <x v="13"/>
    <n v="0.05"/>
    <x v="111"/>
    <x v="156"/>
  </r>
  <r>
    <s v="CUST008"/>
    <s v="Lisa Thomas"/>
    <x v="4"/>
    <x v="1"/>
    <x v="157"/>
    <x v="7"/>
    <n v="0.1"/>
    <x v="112"/>
    <x v="157"/>
  </r>
  <r>
    <s v="CUST008"/>
    <s v="Mary Davis"/>
    <x v="4"/>
    <x v="4"/>
    <x v="158"/>
    <x v="9"/>
    <n v="0"/>
    <x v="112"/>
    <x v="158"/>
  </r>
  <r>
    <s v="CUST023"/>
    <s v="James Taylor"/>
    <x v="2"/>
    <x v="1"/>
    <x v="159"/>
    <x v="5"/>
    <n v="0.2"/>
    <x v="112"/>
    <x v="159"/>
  </r>
  <r>
    <s v="CUST024"/>
    <s v="Linda Taylor"/>
    <x v="3"/>
    <x v="1"/>
    <x v="160"/>
    <x v="3"/>
    <n v="0.2"/>
    <x v="113"/>
    <x v="160"/>
  </r>
  <r>
    <s v="CUST018"/>
    <s v="Lisa Davis"/>
    <x v="3"/>
    <x v="0"/>
    <x v="161"/>
    <x v="6"/>
    <n v="0.2"/>
    <x v="114"/>
    <x v="161"/>
  </r>
  <r>
    <s v="CUST030"/>
    <s v="Sarah Anderson"/>
    <x v="0"/>
    <x v="1"/>
    <x v="162"/>
    <x v="2"/>
    <n v="0.1"/>
    <x v="115"/>
    <x v="162"/>
  </r>
  <r>
    <s v="CUST030"/>
    <s v="Mary Davis"/>
    <x v="1"/>
    <x v="1"/>
    <x v="163"/>
    <x v="16"/>
    <n v="0.2"/>
    <x v="116"/>
    <x v="163"/>
  </r>
  <r>
    <s v="CUST015"/>
    <s v="Lisa Thomas"/>
    <x v="1"/>
    <x v="0"/>
    <x v="164"/>
    <x v="13"/>
    <n v="0.1"/>
    <x v="117"/>
    <x v="164"/>
  </r>
  <r>
    <s v="CUST002"/>
    <s v="Lisa Davis"/>
    <x v="0"/>
    <x v="4"/>
    <x v="165"/>
    <x v="9"/>
    <n v="0.1"/>
    <x v="118"/>
    <x v="165"/>
  </r>
  <r>
    <s v="CUST024"/>
    <s v="Linda Wilson"/>
    <x v="4"/>
    <x v="1"/>
    <x v="166"/>
    <x v="18"/>
    <n v="0.1"/>
    <x v="119"/>
    <x v="166"/>
  </r>
  <r>
    <s v="CUST004"/>
    <s v="James Davis"/>
    <x v="1"/>
    <x v="4"/>
    <x v="167"/>
    <x v="5"/>
    <n v="0.1"/>
    <x v="120"/>
    <x v="167"/>
  </r>
  <r>
    <s v="CUST004"/>
    <s v="Mary Davis"/>
    <x v="2"/>
    <x v="4"/>
    <x v="168"/>
    <x v="15"/>
    <n v="0.1"/>
    <x v="121"/>
    <x v="168"/>
  </r>
  <r>
    <s v="CUST028"/>
    <s v="James Wilson"/>
    <x v="0"/>
    <x v="2"/>
    <x v="169"/>
    <x v="8"/>
    <n v="0.2"/>
    <x v="122"/>
    <x v="169"/>
  </r>
  <r>
    <s v="CUST012"/>
    <s v="Lisa Thomas"/>
    <x v="3"/>
    <x v="1"/>
    <x v="170"/>
    <x v="0"/>
    <n v="0"/>
    <x v="123"/>
    <x v="170"/>
  </r>
  <r>
    <s v="CUST026"/>
    <s v="David Brown"/>
    <x v="0"/>
    <x v="2"/>
    <x v="171"/>
    <x v="1"/>
    <n v="0"/>
    <x v="124"/>
    <x v="171"/>
  </r>
  <r>
    <s v="CUST009"/>
    <s v="Mary Davis"/>
    <x v="3"/>
    <x v="0"/>
    <x v="172"/>
    <x v="7"/>
    <n v="0.2"/>
    <x v="125"/>
    <x v="172"/>
  </r>
  <r>
    <s v="CUST003"/>
    <s v="Sarah Anderson"/>
    <x v="2"/>
    <x v="0"/>
    <x v="173"/>
    <x v="10"/>
    <n v="0.2"/>
    <x v="126"/>
    <x v="173"/>
  </r>
  <r>
    <s v="CUST002"/>
    <s v="Mary Jackson"/>
    <x v="4"/>
    <x v="4"/>
    <x v="174"/>
    <x v="3"/>
    <n v="0.2"/>
    <x v="126"/>
    <x v="174"/>
  </r>
  <r>
    <s v="CUST013"/>
    <s v="Linda Taylor"/>
    <x v="4"/>
    <x v="0"/>
    <x v="175"/>
    <x v="7"/>
    <n v="0.15"/>
    <x v="127"/>
    <x v="175"/>
  </r>
  <r>
    <s v="CUST018"/>
    <s v="Mary Davis"/>
    <x v="4"/>
    <x v="1"/>
    <x v="176"/>
    <x v="14"/>
    <n v="0.2"/>
    <x v="128"/>
    <x v="176"/>
  </r>
  <r>
    <s v="CUST017"/>
    <s v="Mary Davis"/>
    <x v="4"/>
    <x v="1"/>
    <x v="177"/>
    <x v="4"/>
    <n v="0.1"/>
    <x v="129"/>
    <x v="177"/>
  </r>
  <r>
    <s v="CUST004"/>
    <s v="Linda Wilson"/>
    <x v="1"/>
    <x v="0"/>
    <x v="178"/>
    <x v="5"/>
    <n v="0"/>
    <x v="130"/>
    <x v="178"/>
  </r>
  <r>
    <s v="CUST028"/>
    <s v="Sarah Davis"/>
    <x v="3"/>
    <x v="0"/>
    <x v="179"/>
    <x v="4"/>
    <n v="0.1"/>
    <x v="131"/>
    <x v="179"/>
  </r>
  <r>
    <s v="CUST028"/>
    <s v="Mary Wilson"/>
    <x v="3"/>
    <x v="0"/>
    <x v="180"/>
    <x v="10"/>
    <n v="0.2"/>
    <x v="132"/>
    <x v="180"/>
  </r>
  <r>
    <s v="CUST014"/>
    <s v="Emma Davis"/>
    <x v="2"/>
    <x v="0"/>
    <x v="181"/>
    <x v="14"/>
    <n v="0.05"/>
    <x v="133"/>
    <x v="181"/>
  </r>
  <r>
    <s v="CUST003"/>
    <s v="Emma Davis"/>
    <x v="1"/>
    <x v="4"/>
    <x v="182"/>
    <x v="14"/>
    <n v="0.05"/>
    <x v="134"/>
    <x v="182"/>
  </r>
  <r>
    <s v="CUST029"/>
    <s v="David Brown"/>
    <x v="0"/>
    <x v="1"/>
    <x v="183"/>
    <x v="7"/>
    <n v="0.05"/>
    <x v="135"/>
    <x v="183"/>
  </r>
  <r>
    <s v="CUST021"/>
    <s v="David Brown"/>
    <x v="0"/>
    <x v="3"/>
    <x v="184"/>
    <x v="8"/>
    <n v="0.2"/>
    <x v="136"/>
    <x v="184"/>
  </r>
  <r>
    <s v="CUST007"/>
    <s v="David Brown"/>
    <x v="0"/>
    <x v="1"/>
    <x v="185"/>
    <x v="14"/>
    <n v="0"/>
    <x v="137"/>
    <x v="185"/>
  </r>
  <r>
    <s v="CUST009"/>
    <s v="Linda Taylor"/>
    <x v="2"/>
    <x v="1"/>
    <x v="186"/>
    <x v="13"/>
    <n v="0.1"/>
    <x v="138"/>
    <x v="186"/>
  </r>
  <r>
    <s v="CUST023"/>
    <s v="Mary Wilson"/>
    <x v="2"/>
    <x v="1"/>
    <x v="187"/>
    <x v="17"/>
    <n v="0"/>
    <x v="139"/>
    <x v="187"/>
  </r>
  <r>
    <s v="CUST029"/>
    <s v="Michael Anderson"/>
    <x v="3"/>
    <x v="2"/>
    <x v="188"/>
    <x v="10"/>
    <n v="0.2"/>
    <x v="140"/>
    <x v="188"/>
  </r>
  <r>
    <s v="CUST009"/>
    <s v="Michael Anderson"/>
    <x v="2"/>
    <x v="3"/>
    <x v="189"/>
    <x v="6"/>
    <n v="0.2"/>
    <x v="141"/>
    <x v="189"/>
  </r>
  <r>
    <s v="CUST007"/>
    <s v="James Davis"/>
    <x v="2"/>
    <x v="1"/>
    <x v="190"/>
    <x v="13"/>
    <n v="0"/>
    <x v="142"/>
    <x v="190"/>
  </r>
  <r>
    <s v="CUST030"/>
    <s v="Linda Taylor"/>
    <x v="3"/>
    <x v="0"/>
    <x v="191"/>
    <x v="11"/>
    <n v="0.15"/>
    <x v="142"/>
    <x v="191"/>
  </r>
  <r>
    <s v="CUST018"/>
    <s v="David Anderson"/>
    <x v="4"/>
    <x v="1"/>
    <x v="192"/>
    <x v="8"/>
    <n v="0.05"/>
    <x v="143"/>
    <x v="192"/>
  </r>
  <r>
    <s v="CUST008"/>
    <s v="Emma Wilson"/>
    <x v="1"/>
    <x v="3"/>
    <x v="193"/>
    <x v="2"/>
    <n v="0.1"/>
    <x v="143"/>
    <x v="193"/>
  </r>
  <r>
    <s v="CUST014"/>
    <s v="Sarah Anderson"/>
    <x v="0"/>
    <x v="1"/>
    <x v="194"/>
    <x v="4"/>
    <n v="0.15"/>
    <x v="144"/>
    <x v="194"/>
  </r>
  <r>
    <s v="CUST024"/>
    <s v="David Thomas"/>
    <x v="4"/>
    <x v="1"/>
    <x v="195"/>
    <x v="4"/>
    <n v="0.2"/>
    <x v="144"/>
    <x v="195"/>
  </r>
  <r>
    <s v="CUST028"/>
    <s v="Robert Anderson"/>
    <x v="2"/>
    <x v="4"/>
    <x v="196"/>
    <x v="1"/>
    <n v="0"/>
    <x v="145"/>
    <x v="196"/>
  </r>
  <r>
    <s v="CUST015"/>
    <s v="Sarah Anderson"/>
    <x v="0"/>
    <x v="4"/>
    <x v="197"/>
    <x v="2"/>
    <n v="0"/>
    <x v="146"/>
    <x v="197"/>
  </r>
  <r>
    <s v="CUST010"/>
    <s v="David Thomas"/>
    <x v="1"/>
    <x v="0"/>
    <x v="198"/>
    <x v="4"/>
    <n v="0.05"/>
    <x v="146"/>
    <x v="198"/>
  </r>
  <r>
    <s v="CUST016"/>
    <s v="David Thomas"/>
    <x v="2"/>
    <x v="1"/>
    <x v="199"/>
    <x v="7"/>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C860D-F298-4E08-A589-7113772FFB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N20" firstHeaderRow="0" firstDataRow="1" firstDataCol="1"/>
  <pivotFields count="10">
    <pivotField showAll="0"/>
    <pivotField showAll="0"/>
    <pivotField showAll="0"/>
    <pivotField showAll="0"/>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numFmtId="9" showAll="0"/>
    <pivotField numFmtId="14" showAll="0"/>
    <pivotField showAll="0"/>
    <pivotField axis="axisRow" showAll="0">
      <items count="14">
        <item x="0"/>
        <item x="12"/>
        <item x="4"/>
        <item x="8"/>
        <item x="10"/>
        <item x="9"/>
        <item x="3"/>
        <item x="2"/>
        <item x="11"/>
        <item x="1"/>
        <item x="7"/>
        <item x="6"/>
        <item x="5"/>
        <item t="default"/>
      </items>
    </pivotField>
  </pivotFields>
  <rowFields count="1">
    <field x="9"/>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4" baseField="0" baseItem="0"/>
    <dataField name="Sum of Sales2" fld="4" showDataAs="percentOfTotal" baseField="0" baseItem="0" numFmtId="10"/>
  </dataFields>
  <formats count="19">
    <format dxfId="59">
      <pivotArea collapsedLevelsAreSubtotals="1" fieldPosition="0">
        <references count="2">
          <reference field="4294967294" count="1" selected="0">
            <x v="1"/>
          </reference>
          <reference field="9" count="0"/>
        </references>
      </pivotArea>
    </format>
    <format dxfId="58">
      <pivotArea type="all" dataOnly="0" outline="0" fieldPosition="0"/>
    </format>
    <format dxfId="57">
      <pivotArea outline="0" collapsedLevelsAreSubtotals="1" fieldPosition="0"/>
    </format>
    <format dxfId="56">
      <pivotArea field="9" type="button" dataOnly="0" labelOnly="1" outline="0" axis="axisRow" fieldPosition="0"/>
    </format>
    <format dxfId="55">
      <pivotArea dataOnly="0" labelOnly="1" fieldPosition="0">
        <references count="1">
          <reference field="9" count="0"/>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 dxfId="52">
      <pivotArea type="all" dataOnly="0" outline="0" fieldPosition="0"/>
    </format>
    <format dxfId="51">
      <pivotArea outline="0" collapsedLevelsAreSubtotals="1" fieldPosition="0"/>
    </format>
    <format dxfId="50">
      <pivotArea field="9" type="button" dataOnly="0" labelOnly="1" outline="0" axis="axisRow" fieldPosition="0"/>
    </format>
    <format dxfId="49">
      <pivotArea dataOnly="0" labelOnly="1" fieldPosition="0">
        <references count="1">
          <reference field="9" count="0"/>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 dxfId="46">
      <pivotArea type="all" dataOnly="0" outline="0" fieldPosition="0"/>
    </format>
    <format dxfId="45">
      <pivotArea outline="0" collapsedLevelsAreSubtotals="1" fieldPosition="0"/>
    </format>
    <format dxfId="44">
      <pivotArea field="9" type="button" dataOnly="0" labelOnly="1" outline="0" axis="axisRow" fieldPosition="0"/>
    </format>
    <format dxfId="43">
      <pivotArea dataOnly="0" labelOnly="1" fieldPosition="0">
        <references count="1">
          <reference field="9"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9" count="13">
              <x v="0"/>
              <x v="1"/>
              <x v="2"/>
              <x v="3"/>
              <x v="4"/>
              <x v="5"/>
              <x v="6"/>
              <x v="7"/>
              <x v="8"/>
              <x v="9"/>
              <x v="10"/>
              <x v="11"/>
              <x v="12"/>
            </reference>
          </references>
        </pivotArea>
      </pivotAreas>
    </conditionalFormat>
  </conditional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4141C-016A-4D0B-832D-0963B245410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H11"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items count="20">
        <item x="17"/>
        <item x="7"/>
        <item x="1"/>
        <item x="0"/>
        <item x="16"/>
        <item x="5"/>
        <item x="9"/>
        <item x="4"/>
        <item x="13"/>
        <item x="11"/>
        <item x="6"/>
        <item x="3"/>
        <item x="12"/>
        <item x="8"/>
        <item x="10"/>
        <item x="18"/>
        <item x="2"/>
        <item x="14"/>
        <item x="15"/>
        <item t="default"/>
      </items>
    </pivotField>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4"/>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4E125-C8A6-4978-AE0A-BD75F7482A5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B33" firstHeaderRow="1" firstDataRow="1" firstDataCol="1"/>
  <pivotFields count="12">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items count="20">
        <item x="17"/>
        <item x="7"/>
        <item x="1"/>
        <item x="0"/>
        <item x="16"/>
        <item x="5"/>
        <item x="9"/>
        <item x="4"/>
        <item x="13"/>
        <item x="11"/>
        <item x="6"/>
        <item x="3"/>
        <item x="12"/>
        <item x="8"/>
        <item x="10"/>
        <item x="18"/>
        <item x="2"/>
        <item x="14"/>
        <item x="15"/>
        <item t="default"/>
      </items>
    </pivotField>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3">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C8FB0-A951-4A96-BD02-74ADBABCFB9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10" firstHeaderRow="1" firstDataRow="1" firstDataCol="1"/>
  <pivotFields count="12">
    <pivotField showAll="0"/>
    <pivotField showAll="0"/>
    <pivotField axis="axisRow" showAll="0">
      <items count="6">
        <item x="4"/>
        <item x="1"/>
        <item x="3"/>
        <item x="2"/>
        <item x="0"/>
        <item t="default"/>
      </items>
    </pivotField>
    <pivotField showAll="0"/>
    <pivotField dataField="1"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E498E-948A-4538-9A83-1D4B72BE847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B44"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2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2"/>
          </reference>
        </references>
      </pivotArea>
    </chartFormat>
    <chartFormat chart="7" format="5">
      <pivotArea type="data" outline="0" fieldPosition="0">
        <references count="2">
          <reference field="4294967294" count="1" selected="0">
            <x v="0"/>
          </reference>
          <reference field="3" count="1" selected="0">
            <x v="3"/>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8" format="10">
      <pivotArea type="data" outline="0" fieldPosition="0">
        <references count="2">
          <reference field="4294967294" count="1" selected="0">
            <x v="0"/>
          </reference>
          <reference field="3" count="1" selected="0">
            <x v="2"/>
          </reference>
        </references>
      </pivotArea>
    </chartFormat>
    <chartFormat chart="8" format="11">
      <pivotArea type="data" outline="0" fieldPosition="0">
        <references count="2">
          <reference field="4294967294" count="1" selected="0">
            <x v="0"/>
          </reference>
          <reference field="3" count="1" selected="0">
            <x v="3"/>
          </reference>
        </references>
      </pivotArea>
    </chartFormat>
    <chartFormat chart="8" format="12">
      <pivotArea type="data" outline="0" fieldPosition="0">
        <references count="2">
          <reference field="4294967294" count="1" selected="0">
            <x v="0"/>
          </reference>
          <reference field="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1A5E77-0A36-4873-84AE-1B434821BEDA}" sourceName="Region">
  <pivotTables>
    <pivotTable tabId="16" name="PivotTable7"/>
  </pivotTables>
  <data>
    <tabular pivotCacheId="6348047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FB7521D-7F3A-494E-8C90-5F3F87B200A5}" sourceName="Months (Order_Date)">
  <pivotTables>
    <pivotTable tabId="16" name="PivotTable8"/>
  </pivotTables>
  <data>
    <tabular pivotCacheId="6348047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ADC3F75-854E-4C24-89E8-37E089F8A4C9}" sourceName="Product_Category">
  <pivotTables>
    <pivotTable tabId="16" name="PivotTable10"/>
  </pivotTables>
  <data>
    <tabular pivotCacheId="6348047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FA384A-C6EE-4456-82E3-E3647478D1AB}" cache="Slicer_Region" caption="Region" rowHeight="234950"/>
  <slicer name="Region 1" xr10:uid="{73A37D95-1BCC-43B1-8AED-E8D5A0DCE0F4}" cache="Slicer_Region" caption="Region" style="SlicerStyleLight2" rowHeight="234950"/>
  <slicer name="Months (Order_Date)" xr10:uid="{EF029E88-F8B9-4603-B88E-5249AC99A468}" cache="Slicer_Months__Order_Date" caption="Months (Order_Date)" startItem="2" rowHeight="234950"/>
  <slicer name="Product_Category" xr10:uid="{BAA2496F-7B27-4104-AF3C-9C849186088A}"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980DEB9-1497-48C2-9025-28F092906930}" cache="Slicer_Region" caption="Region" rowHeight="234950"/>
  <slicer name="Months (Order_Date) 1" xr10:uid="{76BEC78F-D913-4502-BCD9-5D28683F7871}" cache="Slicer_Months__Order_Date" caption="Months (Order_Date)" startItem="5" rowHeight="234950"/>
  <slicer name="Product_Category 1" xr10:uid="{A09DCC8C-153B-4F27-A3A8-366865A42618}"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25EA-9946-4CA5-95BD-E5DDAB51E7DB}">
  <dimension ref="A1:I204"/>
  <sheetViews>
    <sheetView zoomScale="99" zoomScaleNormal="99" workbookViewId="0">
      <selection activeCell="A4" sqref="A4:G19"/>
    </sheetView>
  </sheetViews>
  <sheetFormatPr defaultRowHeight="14.4" x14ac:dyDescent="0.3"/>
  <cols>
    <col min="1" max="1" width="18.33203125" customWidth="1"/>
    <col min="2" max="2" width="15.5546875" customWidth="1"/>
    <col min="3" max="3" width="13.44140625" customWidth="1"/>
    <col min="4" max="4" width="18.21875" customWidth="1"/>
    <col min="5" max="5" width="15.44140625" customWidth="1"/>
    <col min="6" max="6" width="13.44140625" customWidth="1"/>
    <col min="7" max="7" width="13.109375" customWidth="1"/>
    <col min="8" max="8" width="16.44140625" customWidth="1"/>
    <col min="9" max="9" width="17.109375" customWidth="1"/>
  </cols>
  <sheetData>
    <row r="1" spans="1:9" ht="21" x14ac:dyDescent="0.3">
      <c r="A1" s="29" t="s">
        <v>160</v>
      </c>
      <c r="B1" s="29"/>
      <c r="C1" s="29"/>
      <c r="D1" s="29"/>
      <c r="E1" s="29"/>
      <c r="F1" s="29"/>
      <c r="G1" s="29"/>
      <c r="H1" s="29"/>
      <c r="I1" s="29"/>
    </row>
    <row r="2" spans="1:9" ht="21" x14ac:dyDescent="0.3">
      <c r="A2" s="30"/>
      <c r="B2" s="30"/>
      <c r="C2" s="29" t="s">
        <v>161</v>
      </c>
      <c r="D2" s="29"/>
      <c r="E2" s="29"/>
      <c r="F2" s="30"/>
      <c r="G2" s="30"/>
      <c r="H2" s="30"/>
      <c r="I2" s="30"/>
    </row>
    <row r="4" spans="1:9" x14ac:dyDescent="0.3">
      <c r="A4" s="13" t="s">
        <v>0</v>
      </c>
      <c r="B4" s="13" t="s">
        <v>1</v>
      </c>
      <c r="C4" s="13" t="s">
        <v>2</v>
      </c>
      <c r="D4" s="13" t="s">
        <v>3</v>
      </c>
      <c r="E4" s="13" t="s">
        <v>4</v>
      </c>
      <c r="F4" s="13" t="s">
        <v>5</v>
      </c>
      <c r="G4" s="14" t="s">
        <v>6</v>
      </c>
      <c r="H4" s="15" t="s">
        <v>7</v>
      </c>
      <c r="I4" s="13" t="s">
        <v>8</v>
      </c>
    </row>
    <row r="5" spans="1:9" x14ac:dyDescent="0.3">
      <c r="A5" s="1" t="s">
        <v>9</v>
      </c>
      <c r="B5" s="1" t="s">
        <v>10</v>
      </c>
      <c r="C5" s="1" t="s">
        <v>11</v>
      </c>
      <c r="D5" s="1" t="s">
        <v>12</v>
      </c>
      <c r="E5" s="1">
        <v>1036.0899999999999</v>
      </c>
      <c r="F5" s="1">
        <v>4</v>
      </c>
      <c r="G5" s="2">
        <v>0.2</v>
      </c>
      <c r="H5" s="3">
        <v>45392</v>
      </c>
      <c r="I5" s="1">
        <v>331.55</v>
      </c>
    </row>
    <row r="6" spans="1:9" x14ac:dyDescent="0.3">
      <c r="A6" s="1" t="s">
        <v>13</v>
      </c>
      <c r="B6" s="1" t="s">
        <v>14</v>
      </c>
      <c r="C6" s="1" t="s">
        <v>11</v>
      </c>
      <c r="D6" s="1" t="s">
        <v>15</v>
      </c>
      <c r="E6" s="1">
        <v>1101.28</v>
      </c>
      <c r="F6" s="1">
        <v>3</v>
      </c>
      <c r="G6" s="2">
        <v>0.2</v>
      </c>
      <c r="H6" s="3">
        <v>45393</v>
      </c>
      <c r="I6" s="1">
        <v>440.51</v>
      </c>
    </row>
    <row r="7" spans="1:9" x14ac:dyDescent="0.3">
      <c r="A7" s="1" t="s">
        <v>16</v>
      </c>
      <c r="B7" s="1" t="s">
        <v>17</v>
      </c>
      <c r="C7" s="1" t="s">
        <v>18</v>
      </c>
      <c r="D7" s="1" t="s">
        <v>12</v>
      </c>
      <c r="E7" s="1">
        <v>713.34</v>
      </c>
      <c r="F7" s="1">
        <v>17</v>
      </c>
      <c r="G7" s="2">
        <v>0</v>
      </c>
      <c r="H7" s="3">
        <v>45396</v>
      </c>
      <c r="I7" s="1">
        <v>285.33999999999997</v>
      </c>
    </row>
    <row r="8" spans="1:9" x14ac:dyDescent="0.3">
      <c r="A8" s="1" t="s">
        <v>19</v>
      </c>
      <c r="B8" s="1" t="s">
        <v>14</v>
      </c>
      <c r="C8" s="1" t="s">
        <v>20</v>
      </c>
      <c r="D8" s="1" t="s">
        <v>21</v>
      </c>
      <c r="E8" s="1">
        <v>760.93</v>
      </c>
      <c r="F8" s="1">
        <v>4</v>
      </c>
      <c r="G8" s="2">
        <v>0.15</v>
      </c>
      <c r="H8" s="3">
        <v>45396</v>
      </c>
      <c r="I8" s="1">
        <v>161.69999999999999</v>
      </c>
    </row>
    <row r="9" spans="1:9" x14ac:dyDescent="0.3">
      <c r="A9" s="1" t="s">
        <v>22</v>
      </c>
      <c r="B9" s="1" t="s">
        <v>23</v>
      </c>
      <c r="C9" s="1" t="s">
        <v>24</v>
      </c>
      <c r="D9" s="1" t="s">
        <v>12</v>
      </c>
      <c r="E9" s="1">
        <v>847</v>
      </c>
      <c r="F9" s="1">
        <v>12</v>
      </c>
      <c r="G9" s="2">
        <v>0.2</v>
      </c>
      <c r="H9" s="3">
        <v>45397</v>
      </c>
      <c r="I9" s="1">
        <v>271.04000000000002</v>
      </c>
    </row>
    <row r="10" spans="1:9" ht="12.6" customHeight="1" x14ac:dyDescent="0.3">
      <c r="A10" s="1" t="s">
        <v>25</v>
      </c>
      <c r="B10" s="1" t="s">
        <v>26</v>
      </c>
      <c r="C10" s="1" t="s">
        <v>24</v>
      </c>
      <c r="D10" s="1" t="s">
        <v>27</v>
      </c>
      <c r="E10" s="1">
        <v>965.64</v>
      </c>
      <c r="F10" s="1">
        <v>8</v>
      </c>
      <c r="G10" s="2">
        <v>0.1</v>
      </c>
      <c r="H10" s="3">
        <v>45398</v>
      </c>
      <c r="I10" s="1">
        <v>304.18</v>
      </c>
    </row>
    <row r="11" spans="1:9" x14ac:dyDescent="0.3">
      <c r="A11" s="1" t="s">
        <v>28</v>
      </c>
      <c r="B11" s="1" t="s">
        <v>29</v>
      </c>
      <c r="C11" s="1" t="s">
        <v>11</v>
      </c>
      <c r="D11" s="1" t="s">
        <v>21</v>
      </c>
      <c r="E11" s="1">
        <v>1317.53</v>
      </c>
      <c r="F11" s="1">
        <v>12</v>
      </c>
      <c r="G11" s="2">
        <v>0.05</v>
      </c>
      <c r="H11" s="3">
        <v>45398</v>
      </c>
      <c r="I11" s="1">
        <v>312.91000000000003</v>
      </c>
    </row>
    <row r="12" spans="1:9" x14ac:dyDescent="0.3">
      <c r="A12" s="1" t="s">
        <v>30</v>
      </c>
      <c r="B12" s="1" t="s">
        <v>31</v>
      </c>
      <c r="C12" s="1" t="s">
        <v>18</v>
      </c>
      <c r="D12" s="1" t="s">
        <v>27</v>
      </c>
      <c r="E12" s="1">
        <v>1074.47</v>
      </c>
      <c r="F12" s="1">
        <v>6</v>
      </c>
      <c r="G12" s="2">
        <v>0.2</v>
      </c>
      <c r="H12" s="3">
        <v>45401</v>
      </c>
      <c r="I12" s="1">
        <v>300.85000000000002</v>
      </c>
    </row>
    <row r="13" spans="1:9" x14ac:dyDescent="0.3">
      <c r="A13" s="1" t="s">
        <v>32</v>
      </c>
      <c r="B13" s="1" t="s">
        <v>33</v>
      </c>
      <c r="C13" s="1" t="s">
        <v>34</v>
      </c>
      <c r="D13" s="1" t="s">
        <v>12</v>
      </c>
      <c r="E13" s="1">
        <v>501.54</v>
      </c>
      <c r="F13" s="1">
        <v>11</v>
      </c>
      <c r="G13" s="2">
        <v>0.05</v>
      </c>
      <c r="H13" s="3">
        <v>45401</v>
      </c>
      <c r="I13" s="1">
        <v>190.59</v>
      </c>
    </row>
    <row r="14" spans="1:9" x14ac:dyDescent="0.3">
      <c r="A14" s="1" t="s">
        <v>35</v>
      </c>
      <c r="B14" s="1" t="s">
        <v>36</v>
      </c>
      <c r="C14" s="1" t="s">
        <v>34</v>
      </c>
      <c r="D14" s="1" t="s">
        <v>15</v>
      </c>
      <c r="E14" s="1">
        <v>737.31</v>
      </c>
      <c r="F14" s="1">
        <v>2</v>
      </c>
      <c r="G14" s="2">
        <v>0.05</v>
      </c>
      <c r="H14" s="3">
        <v>45401</v>
      </c>
      <c r="I14" s="1">
        <v>350.22</v>
      </c>
    </row>
    <row r="15" spans="1:9" x14ac:dyDescent="0.3">
      <c r="A15" s="1" t="s">
        <v>37</v>
      </c>
      <c r="B15" s="1" t="s">
        <v>38</v>
      </c>
      <c r="C15" s="1" t="s">
        <v>11</v>
      </c>
      <c r="D15" s="1" t="s">
        <v>39</v>
      </c>
      <c r="E15" s="1">
        <v>1572.82</v>
      </c>
      <c r="F15" s="1">
        <v>6</v>
      </c>
      <c r="G15" s="2">
        <v>0.05</v>
      </c>
      <c r="H15" s="3">
        <v>45402</v>
      </c>
      <c r="I15" s="1">
        <v>672.38</v>
      </c>
    </row>
    <row r="16" spans="1:9" x14ac:dyDescent="0.3">
      <c r="A16" s="1" t="s">
        <v>37</v>
      </c>
      <c r="B16" s="1" t="s">
        <v>36</v>
      </c>
      <c r="C16" s="1" t="s">
        <v>34</v>
      </c>
      <c r="D16" s="1" t="s">
        <v>12</v>
      </c>
      <c r="E16" s="1">
        <v>1343.13</v>
      </c>
      <c r="F16" s="1">
        <v>14</v>
      </c>
      <c r="G16" s="2">
        <v>0.15</v>
      </c>
      <c r="H16" s="3">
        <v>45404</v>
      </c>
      <c r="I16" s="1">
        <v>456.66</v>
      </c>
    </row>
    <row r="17" spans="1:9" ht="16.2" customHeight="1" x14ac:dyDescent="0.3">
      <c r="A17" s="1" t="s">
        <v>25</v>
      </c>
      <c r="B17" s="1" t="s">
        <v>26</v>
      </c>
      <c r="C17" s="1" t="s">
        <v>34</v>
      </c>
      <c r="D17" s="1" t="s">
        <v>12</v>
      </c>
      <c r="E17" s="1">
        <v>1191.58</v>
      </c>
      <c r="F17" s="1">
        <v>14</v>
      </c>
      <c r="G17" s="2">
        <v>0.05</v>
      </c>
      <c r="H17" s="3">
        <v>45406</v>
      </c>
      <c r="I17" s="1">
        <v>452.8</v>
      </c>
    </row>
    <row r="18" spans="1:9" x14ac:dyDescent="0.3">
      <c r="A18" s="1" t="s">
        <v>40</v>
      </c>
      <c r="B18" s="1" t="s">
        <v>14</v>
      </c>
      <c r="C18" s="1" t="s">
        <v>11</v>
      </c>
      <c r="D18" s="1" t="s">
        <v>27</v>
      </c>
      <c r="E18" s="1">
        <v>822.28</v>
      </c>
      <c r="F18" s="1">
        <v>7</v>
      </c>
      <c r="G18" s="2">
        <v>0.05</v>
      </c>
      <c r="H18" s="3">
        <v>45406</v>
      </c>
      <c r="I18" s="1">
        <v>273.41000000000003</v>
      </c>
    </row>
    <row r="19" spans="1:9" x14ac:dyDescent="0.3">
      <c r="A19" s="1" t="s">
        <v>41</v>
      </c>
      <c r="B19" s="1" t="s">
        <v>42</v>
      </c>
      <c r="C19" s="1" t="s">
        <v>24</v>
      </c>
      <c r="D19" s="1" t="s">
        <v>27</v>
      </c>
      <c r="E19" s="1">
        <v>521.66999999999996</v>
      </c>
      <c r="F19" s="1">
        <v>15</v>
      </c>
      <c r="G19" s="2">
        <v>0.15</v>
      </c>
      <c r="H19" s="3">
        <v>45409</v>
      </c>
      <c r="I19" s="1">
        <v>155.19999999999999</v>
      </c>
    </row>
    <row r="20" spans="1:9" x14ac:dyDescent="0.3">
      <c r="A20" s="1" t="s">
        <v>19</v>
      </c>
      <c r="B20" s="1" t="s">
        <v>43</v>
      </c>
      <c r="C20" s="1" t="s">
        <v>20</v>
      </c>
      <c r="D20" s="1" t="s">
        <v>21</v>
      </c>
      <c r="E20" s="1">
        <v>1502.93</v>
      </c>
      <c r="F20" s="1">
        <v>14</v>
      </c>
      <c r="G20" s="2">
        <v>0.2</v>
      </c>
      <c r="H20" s="3">
        <v>45410</v>
      </c>
      <c r="I20" s="1">
        <v>300.58999999999997</v>
      </c>
    </row>
    <row r="21" spans="1:9" x14ac:dyDescent="0.3">
      <c r="A21" s="1" t="s">
        <v>44</v>
      </c>
      <c r="B21" s="1" t="s">
        <v>14</v>
      </c>
      <c r="C21" s="1" t="s">
        <v>20</v>
      </c>
      <c r="D21" s="1" t="s">
        <v>12</v>
      </c>
      <c r="E21" s="1">
        <v>877.58</v>
      </c>
      <c r="F21" s="1">
        <v>10</v>
      </c>
      <c r="G21" s="2">
        <v>0.15</v>
      </c>
      <c r="H21" s="3">
        <v>45411</v>
      </c>
      <c r="I21" s="1">
        <v>298.38</v>
      </c>
    </row>
    <row r="22" spans="1:9" x14ac:dyDescent="0.3">
      <c r="A22" s="1" t="s">
        <v>28</v>
      </c>
      <c r="B22" s="1" t="s">
        <v>45</v>
      </c>
      <c r="C22" s="1" t="s">
        <v>11</v>
      </c>
      <c r="D22" s="1" t="s">
        <v>12</v>
      </c>
      <c r="E22" s="1">
        <v>636.70000000000005</v>
      </c>
      <c r="F22" s="1">
        <v>4</v>
      </c>
      <c r="G22" s="2">
        <v>0.2</v>
      </c>
      <c r="H22" s="3">
        <v>45411</v>
      </c>
      <c r="I22" s="1">
        <v>203.74</v>
      </c>
    </row>
    <row r="23" spans="1:9" x14ac:dyDescent="0.3">
      <c r="A23" s="1" t="s">
        <v>46</v>
      </c>
      <c r="B23" s="1" t="s">
        <v>47</v>
      </c>
      <c r="C23" s="1" t="s">
        <v>11</v>
      </c>
      <c r="D23" s="1" t="s">
        <v>12</v>
      </c>
      <c r="E23" s="1">
        <v>1506.14</v>
      </c>
      <c r="F23" s="1">
        <v>13</v>
      </c>
      <c r="G23" s="2">
        <v>0.2</v>
      </c>
      <c r="H23" s="3">
        <v>45412</v>
      </c>
      <c r="I23" s="1">
        <v>481.96</v>
      </c>
    </row>
    <row r="24" spans="1:9" x14ac:dyDescent="0.3">
      <c r="A24" s="1" t="s">
        <v>30</v>
      </c>
      <c r="B24" s="1" t="s">
        <v>31</v>
      </c>
      <c r="C24" s="1" t="s">
        <v>34</v>
      </c>
      <c r="D24" s="1" t="s">
        <v>21</v>
      </c>
      <c r="E24" s="1">
        <v>645.02</v>
      </c>
      <c r="F24" s="1">
        <v>4</v>
      </c>
      <c r="G24" s="2">
        <v>0</v>
      </c>
      <c r="H24" s="3">
        <v>45414</v>
      </c>
      <c r="I24" s="1">
        <v>161.26</v>
      </c>
    </row>
    <row r="25" spans="1:9" x14ac:dyDescent="0.3">
      <c r="A25" s="1" t="s">
        <v>25</v>
      </c>
      <c r="B25" s="1" t="s">
        <v>48</v>
      </c>
      <c r="C25" s="1" t="s">
        <v>20</v>
      </c>
      <c r="D25" s="1" t="s">
        <v>15</v>
      </c>
      <c r="E25" s="1">
        <v>953.3</v>
      </c>
      <c r="F25" s="1">
        <v>11</v>
      </c>
      <c r="G25" s="2">
        <v>0</v>
      </c>
      <c r="H25" s="3">
        <v>45415</v>
      </c>
      <c r="I25" s="1">
        <v>476.65</v>
      </c>
    </row>
    <row r="26" spans="1:9" x14ac:dyDescent="0.3">
      <c r="A26" s="1" t="s">
        <v>49</v>
      </c>
      <c r="B26" s="1" t="s">
        <v>14</v>
      </c>
      <c r="C26" s="1" t="s">
        <v>24</v>
      </c>
      <c r="D26" s="1" t="s">
        <v>21</v>
      </c>
      <c r="E26" s="1">
        <v>388.56</v>
      </c>
      <c r="F26" s="1">
        <v>14</v>
      </c>
      <c r="G26" s="2">
        <v>0.15</v>
      </c>
      <c r="H26" s="3">
        <v>45416</v>
      </c>
      <c r="I26" s="1">
        <v>82.57</v>
      </c>
    </row>
    <row r="27" spans="1:9" x14ac:dyDescent="0.3">
      <c r="A27" s="1" t="s">
        <v>9</v>
      </c>
      <c r="B27" s="1" t="s">
        <v>31</v>
      </c>
      <c r="C27" s="1" t="s">
        <v>11</v>
      </c>
      <c r="D27" s="1" t="s">
        <v>12</v>
      </c>
      <c r="E27" s="1">
        <v>743.17</v>
      </c>
      <c r="F27" s="1">
        <v>9</v>
      </c>
      <c r="G27" s="2">
        <v>0</v>
      </c>
      <c r="H27" s="3">
        <v>45416</v>
      </c>
      <c r="I27" s="1">
        <v>297.27</v>
      </c>
    </row>
    <row r="28" spans="1:9" x14ac:dyDescent="0.3">
      <c r="A28" s="1" t="s">
        <v>40</v>
      </c>
      <c r="B28" s="1" t="s">
        <v>31</v>
      </c>
      <c r="C28" s="1" t="s">
        <v>34</v>
      </c>
      <c r="D28" s="1" t="s">
        <v>21</v>
      </c>
      <c r="E28" s="1">
        <v>706.37</v>
      </c>
      <c r="F28" s="1">
        <v>6</v>
      </c>
      <c r="G28" s="2">
        <v>0</v>
      </c>
      <c r="H28" s="3">
        <v>45416</v>
      </c>
      <c r="I28" s="1">
        <v>176.59</v>
      </c>
    </row>
    <row r="29" spans="1:9" x14ac:dyDescent="0.3">
      <c r="A29" s="1" t="s">
        <v>13</v>
      </c>
      <c r="B29" s="1" t="s">
        <v>31</v>
      </c>
      <c r="C29" s="1" t="s">
        <v>34</v>
      </c>
      <c r="D29" s="1" t="s">
        <v>39</v>
      </c>
      <c r="E29" s="1">
        <v>925.31</v>
      </c>
      <c r="F29" s="1">
        <v>8</v>
      </c>
      <c r="G29" s="2">
        <v>0.1</v>
      </c>
      <c r="H29" s="3">
        <v>45418</v>
      </c>
      <c r="I29" s="1">
        <v>374.75</v>
      </c>
    </row>
    <row r="30" spans="1:9" x14ac:dyDescent="0.3">
      <c r="A30" s="1" t="s">
        <v>35</v>
      </c>
      <c r="B30" s="1" t="s">
        <v>50</v>
      </c>
      <c r="C30" s="1" t="s">
        <v>20</v>
      </c>
      <c r="D30" s="1" t="s">
        <v>21</v>
      </c>
      <c r="E30" s="1">
        <v>1173.1199999999999</v>
      </c>
      <c r="F30" s="1">
        <v>18</v>
      </c>
      <c r="G30" s="2">
        <v>0</v>
      </c>
      <c r="H30" s="3">
        <v>45418</v>
      </c>
      <c r="I30" s="1">
        <v>293.27999999999997</v>
      </c>
    </row>
    <row r="31" spans="1:9" x14ac:dyDescent="0.3">
      <c r="A31" s="1" t="s">
        <v>22</v>
      </c>
      <c r="B31" s="1" t="s">
        <v>51</v>
      </c>
      <c r="C31" s="1" t="s">
        <v>24</v>
      </c>
      <c r="D31" s="1" t="s">
        <v>27</v>
      </c>
      <c r="E31" s="1">
        <v>675.54</v>
      </c>
      <c r="F31" s="1">
        <v>17</v>
      </c>
      <c r="G31" s="2">
        <v>0</v>
      </c>
      <c r="H31" s="3">
        <v>45420</v>
      </c>
      <c r="I31" s="1">
        <v>236.44</v>
      </c>
    </row>
    <row r="32" spans="1:9" x14ac:dyDescent="0.3">
      <c r="A32" s="1" t="s">
        <v>25</v>
      </c>
      <c r="B32" s="1" t="s">
        <v>14</v>
      </c>
      <c r="C32" s="1" t="s">
        <v>34</v>
      </c>
      <c r="D32" s="1" t="s">
        <v>12</v>
      </c>
      <c r="E32" s="1">
        <v>939.09</v>
      </c>
      <c r="F32" s="1">
        <v>2</v>
      </c>
      <c r="G32" s="2">
        <v>0.05</v>
      </c>
      <c r="H32" s="3">
        <v>45422</v>
      </c>
      <c r="I32" s="1">
        <v>356.85</v>
      </c>
    </row>
    <row r="33" spans="1:9" x14ac:dyDescent="0.3">
      <c r="A33" s="1" t="s">
        <v>52</v>
      </c>
      <c r="B33" s="1" t="s">
        <v>53</v>
      </c>
      <c r="C33" s="1" t="s">
        <v>18</v>
      </c>
      <c r="D33" s="1" t="s">
        <v>39</v>
      </c>
      <c r="E33" s="1">
        <v>983.34</v>
      </c>
      <c r="F33" s="1">
        <v>19</v>
      </c>
      <c r="G33" s="2">
        <v>0.1</v>
      </c>
      <c r="H33" s="3">
        <v>45426</v>
      </c>
      <c r="I33" s="1">
        <v>398.25</v>
      </c>
    </row>
    <row r="34" spans="1:9" x14ac:dyDescent="0.3">
      <c r="A34" s="1" t="s">
        <v>52</v>
      </c>
      <c r="B34" s="1" t="s">
        <v>23</v>
      </c>
      <c r="C34" s="1" t="s">
        <v>20</v>
      </c>
      <c r="D34" s="1" t="s">
        <v>21</v>
      </c>
      <c r="E34" s="1">
        <v>801.21</v>
      </c>
      <c r="F34" s="1">
        <v>3</v>
      </c>
      <c r="G34" s="2">
        <v>0.2</v>
      </c>
      <c r="H34" s="3">
        <v>45426</v>
      </c>
      <c r="I34" s="1">
        <v>160.24</v>
      </c>
    </row>
    <row r="35" spans="1:9" x14ac:dyDescent="0.3">
      <c r="A35" s="1" t="s">
        <v>54</v>
      </c>
      <c r="B35" s="1" t="s">
        <v>55</v>
      </c>
      <c r="C35" s="1" t="s">
        <v>24</v>
      </c>
      <c r="D35" s="1" t="s">
        <v>21</v>
      </c>
      <c r="E35" s="1">
        <v>1450.71</v>
      </c>
      <c r="F35" s="1">
        <v>5</v>
      </c>
      <c r="G35" s="2">
        <v>0.1</v>
      </c>
      <c r="H35" s="3">
        <v>45427</v>
      </c>
      <c r="I35" s="1">
        <v>326.41000000000003</v>
      </c>
    </row>
    <row r="36" spans="1:9" x14ac:dyDescent="0.3">
      <c r="A36" s="1" t="s">
        <v>49</v>
      </c>
      <c r="B36" s="1" t="s">
        <v>56</v>
      </c>
      <c r="C36" s="1" t="s">
        <v>34</v>
      </c>
      <c r="D36" s="1" t="s">
        <v>12</v>
      </c>
      <c r="E36" s="1">
        <v>1023.21</v>
      </c>
      <c r="F36" s="1">
        <v>18</v>
      </c>
      <c r="G36" s="2">
        <v>0.05</v>
      </c>
      <c r="H36" s="3">
        <v>45428</v>
      </c>
      <c r="I36" s="1">
        <v>388.82</v>
      </c>
    </row>
    <row r="37" spans="1:9" x14ac:dyDescent="0.3">
      <c r="A37" s="1" t="s">
        <v>28</v>
      </c>
      <c r="B37" s="1" t="s">
        <v>47</v>
      </c>
      <c r="C37" s="1" t="s">
        <v>11</v>
      </c>
      <c r="D37" s="1" t="s">
        <v>27</v>
      </c>
      <c r="E37" s="1">
        <v>853.72</v>
      </c>
      <c r="F37" s="1">
        <v>5</v>
      </c>
      <c r="G37" s="2">
        <v>0.15</v>
      </c>
      <c r="H37" s="3">
        <v>45428</v>
      </c>
      <c r="I37" s="1">
        <v>253.98</v>
      </c>
    </row>
    <row r="38" spans="1:9" x14ac:dyDescent="0.3">
      <c r="A38" s="1" t="s">
        <v>57</v>
      </c>
      <c r="B38" s="1" t="s">
        <v>43</v>
      </c>
      <c r="C38" s="1" t="s">
        <v>20</v>
      </c>
      <c r="D38" s="1" t="s">
        <v>21</v>
      </c>
      <c r="E38" s="1">
        <v>967.89</v>
      </c>
      <c r="F38" s="1">
        <v>10</v>
      </c>
      <c r="G38" s="2">
        <v>0.1</v>
      </c>
      <c r="H38" s="3">
        <v>45429</v>
      </c>
      <c r="I38" s="1">
        <v>217.78</v>
      </c>
    </row>
    <row r="39" spans="1:9" x14ac:dyDescent="0.3">
      <c r="A39" s="1" t="s">
        <v>58</v>
      </c>
      <c r="B39" s="1" t="s">
        <v>53</v>
      </c>
      <c r="C39" s="1" t="s">
        <v>24</v>
      </c>
      <c r="D39" s="1" t="s">
        <v>39</v>
      </c>
      <c r="E39" s="1">
        <v>1200.9000000000001</v>
      </c>
      <c r="F39" s="1">
        <v>14</v>
      </c>
      <c r="G39" s="2">
        <v>0.05</v>
      </c>
      <c r="H39" s="3">
        <v>45429</v>
      </c>
      <c r="I39" s="1">
        <v>513.38</v>
      </c>
    </row>
    <row r="40" spans="1:9" ht="15.6" customHeight="1" x14ac:dyDescent="0.3">
      <c r="A40" s="1" t="s">
        <v>13</v>
      </c>
      <c r="B40" s="1" t="s">
        <v>26</v>
      </c>
      <c r="C40" s="1" t="s">
        <v>11</v>
      </c>
      <c r="D40" s="1" t="s">
        <v>12</v>
      </c>
      <c r="E40" s="1">
        <v>472.38</v>
      </c>
      <c r="F40" s="1">
        <v>12</v>
      </c>
      <c r="G40" s="2">
        <v>0.2</v>
      </c>
      <c r="H40" s="3">
        <v>45429</v>
      </c>
      <c r="I40" s="1">
        <v>151.16</v>
      </c>
    </row>
    <row r="41" spans="1:9" x14ac:dyDescent="0.3">
      <c r="A41" s="1" t="s">
        <v>9</v>
      </c>
      <c r="B41" s="1" t="s">
        <v>55</v>
      </c>
      <c r="C41" s="1" t="s">
        <v>18</v>
      </c>
      <c r="D41" s="1" t="s">
        <v>39</v>
      </c>
      <c r="E41" s="1">
        <v>840.92</v>
      </c>
      <c r="F41" s="1">
        <v>9</v>
      </c>
      <c r="G41" s="2">
        <v>0.05</v>
      </c>
      <c r="H41" s="3">
        <v>45429</v>
      </c>
      <c r="I41" s="1">
        <v>359.49</v>
      </c>
    </row>
    <row r="42" spans="1:9" x14ac:dyDescent="0.3">
      <c r="A42" s="1" t="s">
        <v>52</v>
      </c>
      <c r="B42" s="1" t="s">
        <v>48</v>
      </c>
      <c r="C42" s="1" t="s">
        <v>34</v>
      </c>
      <c r="D42" s="1" t="s">
        <v>27</v>
      </c>
      <c r="E42" s="1">
        <v>1410.06</v>
      </c>
      <c r="F42" s="1">
        <v>11</v>
      </c>
      <c r="G42" s="2">
        <v>0.05</v>
      </c>
      <c r="H42" s="3">
        <v>45434</v>
      </c>
      <c r="I42" s="1">
        <v>468.84</v>
      </c>
    </row>
    <row r="43" spans="1:9" x14ac:dyDescent="0.3">
      <c r="A43" s="1" t="s">
        <v>44</v>
      </c>
      <c r="B43" s="1" t="s">
        <v>59</v>
      </c>
      <c r="C43" s="1" t="s">
        <v>34</v>
      </c>
      <c r="D43" s="1" t="s">
        <v>27</v>
      </c>
      <c r="E43" s="1">
        <v>773.09</v>
      </c>
      <c r="F43" s="1">
        <v>13</v>
      </c>
      <c r="G43" s="2">
        <v>0.15</v>
      </c>
      <c r="H43" s="3">
        <v>45434</v>
      </c>
      <c r="I43" s="1">
        <v>229.99</v>
      </c>
    </row>
    <row r="44" spans="1:9" x14ac:dyDescent="0.3">
      <c r="A44" s="1" t="s">
        <v>60</v>
      </c>
      <c r="B44" s="1" t="s">
        <v>61</v>
      </c>
      <c r="C44" s="1" t="s">
        <v>18</v>
      </c>
      <c r="D44" s="1" t="s">
        <v>12</v>
      </c>
      <c r="E44" s="1">
        <v>580.42999999999995</v>
      </c>
      <c r="F44" s="1">
        <v>19</v>
      </c>
      <c r="G44" s="2">
        <v>0.15</v>
      </c>
      <c r="H44" s="3">
        <v>45435</v>
      </c>
      <c r="I44" s="1">
        <v>197.35</v>
      </c>
    </row>
    <row r="45" spans="1:9" x14ac:dyDescent="0.3">
      <c r="A45" s="1" t="s">
        <v>19</v>
      </c>
      <c r="B45" s="1" t="s">
        <v>42</v>
      </c>
      <c r="C45" s="1" t="s">
        <v>20</v>
      </c>
      <c r="D45" s="1" t="s">
        <v>12</v>
      </c>
      <c r="E45" s="1">
        <v>1151.21</v>
      </c>
      <c r="F45" s="1">
        <v>15</v>
      </c>
      <c r="G45" s="2">
        <v>0.1</v>
      </c>
      <c r="H45" s="3">
        <v>45445</v>
      </c>
      <c r="I45" s="1">
        <v>414.44</v>
      </c>
    </row>
    <row r="46" spans="1:9" x14ac:dyDescent="0.3">
      <c r="A46" s="1" t="s">
        <v>52</v>
      </c>
      <c r="B46" s="1" t="s">
        <v>23</v>
      </c>
      <c r="C46" s="1" t="s">
        <v>34</v>
      </c>
      <c r="D46" s="1" t="s">
        <v>39</v>
      </c>
      <c r="E46" s="1">
        <v>1025.98</v>
      </c>
      <c r="F46" s="1">
        <v>5</v>
      </c>
      <c r="G46" s="2">
        <v>0.2</v>
      </c>
      <c r="H46" s="3">
        <v>45447</v>
      </c>
      <c r="I46" s="1">
        <v>369.35</v>
      </c>
    </row>
    <row r="47" spans="1:9" x14ac:dyDescent="0.3">
      <c r="A47" s="1" t="s">
        <v>40</v>
      </c>
      <c r="B47" s="1" t="s">
        <v>56</v>
      </c>
      <c r="C47" s="1" t="s">
        <v>18</v>
      </c>
      <c r="D47" s="1" t="s">
        <v>39</v>
      </c>
      <c r="E47" s="1">
        <v>556.41999999999996</v>
      </c>
      <c r="F47" s="1">
        <v>11</v>
      </c>
      <c r="G47" s="2">
        <v>0.15</v>
      </c>
      <c r="H47" s="3">
        <v>45447</v>
      </c>
      <c r="I47" s="1">
        <v>212.83</v>
      </c>
    </row>
    <row r="48" spans="1:9" x14ac:dyDescent="0.3">
      <c r="A48" s="1" t="s">
        <v>57</v>
      </c>
      <c r="B48" s="1" t="s">
        <v>23</v>
      </c>
      <c r="C48" s="1" t="s">
        <v>34</v>
      </c>
      <c r="D48" s="1" t="s">
        <v>12</v>
      </c>
      <c r="E48" s="1">
        <v>840.85</v>
      </c>
      <c r="F48" s="1">
        <v>19</v>
      </c>
      <c r="G48" s="2">
        <v>0.1</v>
      </c>
      <c r="H48" s="3">
        <v>45448</v>
      </c>
      <c r="I48" s="1">
        <v>302.70999999999998</v>
      </c>
    </row>
    <row r="49" spans="1:9" x14ac:dyDescent="0.3">
      <c r="A49" s="1" t="s">
        <v>30</v>
      </c>
      <c r="B49" s="1" t="s">
        <v>61</v>
      </c>
      <c r="C49" s="1" t="s">
        <v>24</v>
      </c>
      <c r="D49" s="1" t="s">
        <v>27</v>
      </c>
      <c r="E49" s="1">
        <v>1227.25</v>
      </c>
      <c r="F49" s="1">
        <v>12</v>
      </c>
      <c r="G49" s="2">
        <v>0.15</v>
      </c>
      <c r="H49" s="3">
        <v>45448</v>
      </c>
      <c r="I49" s="1">
        <v>365.11</v>
      </c>
    </row>
    <row r="50" spans="1:9" x14ac:dyDescent="0.3">
      <c r="A50" s="1" t="s">
        <v>16</v>
      </c>
      <c r="B50" s="1" t="s">
        <v>62</v>
      </c>
      <c r="C50" s="1" t="s">
        <v>34</v>
      </c>
      <c r="D50" s="1" t="s">
        <v>21</v>
      </c>
      <c r="E50" s="1">
        <v>856.7</v>
      </c>
      <c r="F50" s="1">
        <v>2</v>
      </c>
      <c r="G50" s="2">
        <v>0</v>
      </c>
      <c r="H50" s="3">
        <v>45449</v>
      </c>
      <c r="I50" s="1">
        <v>214.18</v>
      </c>
    </row>
    <row r="51" spans="1:9" x14ac:dyDescent="0.3">
      <c r="A51" s="1" t="s">
        <v>54</v>
      </c>
      <c r="B51" s="1" t="s">
        <v>56</v>
      </c>
      <c r="C51" s="1" t="s">
        <v>34</v>
      </c>
      <c r="D51" s="1" t="s">
        <v>39</v>
      </c>
      <c r="E51" s="1">
        <v>1225.42</v>
      </c>
      <c r="F51" s="1">
        <v>8</v>
      </c>
      <c r="G51" s="2">
        <v>0.15</v>
      </c>
      <c r="H51" s="3">
        <v>45449</v>
      </c>
      <c r="I51" s="1">
        <v>468.72</v>
      </c>
    </row>
    <row r="52" spans="1:9" x14ac:dyDescent="0.3">
      <c r="A52" s="1" t="s">
        <v>63</v>
      </c>
      <c r="B52" s="1" t="s">
        <v>31</v>
      </c>
      <c r="C52" s="1" t="s">
        <v>24</v>
      </c>
      <c r="D52" s="1" t="s">
        <v>39</v>
      </c>
      <c r="E52" s="1">
        <v>1001.57</v>
      </c>
      <c r="F52" s="1">
        <v>12</v>
      </c>
      <c r="G52" s="2">
        <v>0</v>
      </c>
      <c r="H52" s="3">
        <v>45450</v>
      </c>
      <c r="I52" s="1">
        <v>450.71</v>
      </c>
    </row>
    <row r="53" spans="1:9" ht="14.4" customHeight="1" x14ac:dyDescent="0.3">
      <c r="A53" s="1" t="s">
        <v>57</v>
      </c>
      <c r="B53" s="1" t="s">
        <v>26</v>
      </c>
      <c r="C53" s="1" t="s">
        <v>18</v>
      </c>
      <c r="D53" s="1" t="s">
        <v>27</v>
      </c>
      <c r="E53" s="1">
        <v>1186.8499999999999</v>
      </c>
      <c r="F53" s="1">
        <v>19</v>
      </c>
      <c r="G53" s="2">
        <v>0.2</v>
      </c>
      <c r="H53" s="3">
        <v>45451</v>
      </c>
      <c r="I53" s="1">
        <v>332.32</v>
      </c>
    </row>
    <row r="54" spans="1:9" x14ac:dyDescent="0.3">
      <c r="A54" s="1" t="s">
        <v>44</v>
      </c>
      <c r="B54" s="1" t="s">
        <v>51</v>
      </c>
      <c r="C54" s="1" t="s">
        <v>20</v>
      </c>
      <c r="D54" s="1" t="s">
        <v>21</v>
      </c>
      <c r="E54" s="1">
        <v>775.45</v>
      </c>
      <c r="F54" s="1">
        <v>6</v>
      </c>
      <c r="G54" s="2">
        <v>0.1</v>
      </c>
      <c r="H54" s="3">
        <v>45457</v>
      </c>
      <c r="I54" s="1">
        <v>174.48</v>
      </c>
    </row>
    <row r="55" spans="1:9" x14ac:dyDescent="0.3">
      <c r="A55" s="1" t="s">
        <v>25</v>
      </c>
      <c r="B55" s="1" t="s">
        <v>33</v>
      </c>
      <c r="C55" s="1" t="s">
        <v>20</v>
      </c>
      <c r="D55" s="1" t="s">
        <v>21</v>
      </c>
      <c r="E55" s="1">
        <v>1021.47</v>
      </c>
      <c r="F55" s="1">
        <v>6</v>
      </c>
      <c r="G55" s="2">
        <v>0.05</v>
      </c>
      <c r="H55" s="3">
        <v>45461</v>
      </c>
      <c r="I55" s="1">
        <v>242.6</v>
      </c>
    </row>
    <row r="56" spans="1:9" x14ac:dyDescent="0.3">
      <c r="A56" s="1" t="s">
        <v>58</v>
      </c>
      <c r="B56" s="1" t="s">
        <v>23</v>
      </c>
      <c r="C56" s="1" t="s">
        <v>20</v>
      </c>
      <c r="D56" s="1" t="s">
        <v>15</v>
      </c>
      <c r="E56" s="1">
        <v>1226.6199999999999</v>
      </c>
      <c r="F56" s="1">
        <v>7</v>
      </c>
      <c r="G56" s="2">
        <v>0.1</v>
      </c>
      <c r="H56" s="3">
        <v>45463</v>
      </c>
      <c r="I56" s="1">
        <v>551.98</v>
      </c>
    </row>
    <row r="57" spans="1:9" x14ac:dyDescent="0.3">
      <c r="A57" s="1" t="s">
        <v>22</v>
      </c>
      <c r="B57" s="1" t="s">
        <v>64</v>
      </c>
      <c r="C57" s="1" t="s">
        <v>20</v>
      </c>
      <c r="D57" s="1" t="s">
        <v>27</v>
      </c>
      <c r="E57" s="1">
        <v>1086.93</v>
      </c>
      <c r="F57" s="1">
        <v>2</v>
      </c>
      <c r="G57" s="2">
        <v>0</v>
      </c>
      <c r="H57" s="3">
        <v>45464</v>
      </c>
      <c r="I57" s="1">
        <v>380.43</v>
      </c>
    </row>
    <row r="58" spans="1:9" x14ac:dyDescent="0.3">
      <c r="A58" s="1" t="s">
        <v>65</v>
      </c>
      <c r="B58" s="1" t="s">
        <v>48</v>
      </c>
      <c r="C58" s="1" t="s">
        <v>11</v>
      </c>
      <c r="D58" s="1" t="s">
        <v>12</v>
      </c>
      <c r="E58" s="1">
        <v>942.9</v>
      </c>
      <c r="F58" s="1">
        <v>18</v>
      </c>
      <c r="G58" s="2">
        <v>0.1</v>
      </c>
      <c r="H58" s="3">
        <v>45466</v>
      </c>
      <c r="I58" s="1">
        <v>339.44</v>
      </c>
    </row>
    <row r="59" spans="1:9" x14ac:dyDescent="0.3">
      <c r="A59" s="1" t="s">
        <v>32</v>
      </c>
      <c r="B59" s="1" t="s">
        <v>38</v>
      </c>
      <c r="C59" s="1" t="s">
        <v>24</v>
      </c>
      <c r="D59" s="1" t="s">
        <v>21</v>
      </c>
      <c r="E59" s="1">
        <v>818.8</v>
      </c>
      <c r="F59" s="1">
        <v>15</v>
      </c>
      <c r="G59" s="2">
        <v>0.15</v>
      </c>
      <c r="H59" s="3">
        <v>45468</v>
      </c>
      <c r="I59" s="1">
        <v>173.99</v>
      </c>
    </row>
    <row r="60" spans="1:9" x14ac:dyDescent="0.3">
      <c r="A60" s="1" t="s">
        <v>19</v>
      </c>
      <c r="B60" s="1" t="s">
        <v>14</v>
      </c>
      <c r="C60" s="1" t="s">
        <v>20</v>
      </c>
      <c r="D60" s="1" t="s">
        <v>27</v>
      </c>
      <c r="E60" s="1">
        <v>919.04</v>
      </c>
      <c r="F60" s="1">
        <v>10</v>
      </c>
      <c r="G60" s="2">
        <v>0.2</v>
      </c>
      <c r="H60" s="3">
        <v>45468</v>
      </c>
      <c r="I60" s="1">
        <v>257.33</v>
      </c>
    </row>
    <row r="61" spans="1:9" x14ac:dyDescent="0.3">
      <c r="A61" s="1" t="s">
        <v>22</v>
      </c>
      <c r="B61" s="1" t="s">
        <v>66</v>
      </c>
      <c r="C61" s="1" t="s">
        <v>34</v>
      </c>
      <c r="D61" s="1" t="s">
        <v>12</v>
      </c>
      <c r="E61" s="1">
        <v>973.26</v>
      </c>
      <c r="F61" s="1">
        <v>11</v>
      </c>
      <c r="G61" s="2">
        <v>0</v>
      </c>
      <c r="H61" s="3">
        <v>45470</v>
      </c>
      <c r="I61" s="1">
        <v>389.3</v>
      </c>
    </row>
    <row r="62" spans="1:9" x14ac:dyDescent="0.3">
      <c r="A62" s="1" t="s">
        <v>41</v>
      </c>
      <c r="B62" s="1" t="s">
        <v>64</v>
      </c>
      <c r="C62" s="1" t="s">
        <v>24</v>
      </c>
      <c r="D62" s="1" t="s">
        <v>21</v>
      </c>
      <c r="E62" s="1">
        <v>741.61</v>
      </c>
      <c r="F62" s="1">
        <v>1</v>
      </c>
      <c r="G62" s="2">
        <v>0.2</v>
      </c>
      <c r="H62" s="3">
        <v>45471</v>
      </c>
      <c r="I62" s="1">
        <v>148.32</v>
      </c>
    </row>
    <row r="63" spans="1:9" x14ac:dyDescent="0.3">
      <c r="A63" s="1" t="s">
        <v>67</v>
      </c>
      <c r="B63" s="1" t="s">
        <v>38</v>
      </c>
      <c r="C63" s="1" t="s">
        <v>24</v>
      </c>
      <c r="D63" s="1" t="s">
        <v>12</v>
      </c>
      <c r="E63" s="1">
        <v>1248.82</v>
      </c>
      <c r="F63" s="1">
        <v>2</v>
      </c>
      <c r="G63" s="2">
        <v>0.1</v>
      </c>
      <c r="H63" s="3">
        <v>45473</v>
      </c>
      <c r="I63" s="1">
        <v>449.58</v>
      </c>
    </row>
    <row r="64" spans="1:9" x14ac:dyDescent="0.3">
      <c r="A64" s="1" t="s">
        <v>13</v>
      </c>
      <c r="B64" s="1" t="s">
        <v>59</v>
      </c>
      <c r="C64" s="1" t="s">
        <v>11</v>
      </c>
      <c r="D64" s="1" t="s">
        <v>15</v>
      </c>
      <c r="E64" s="1">
        <v>1360.36</v>
      </c>
      <c r="F64" s="1">
        <v>17</v>
      </c>
      <c r="G64" s="2">
        <v>0</v>
      </c>
      <c r="H64" s="3">
        <v>45473</v>
      </c>
      <c r="I64" s="1">
        <v>680.18</v>
      </c>
    </row>
    <row r="65" spans="1:9" x14ac:dyDescent="0.3">
      <c r="A65" s="1" t="s">
        <v>57</v>
      </c>
      <c r="B65" s="1" t="s">
        <v>31</v>
      </c>
      <c r="C65" s="1" t="s">
        <v>18</v>
      </c>
      <c r="D65" s="1" t="s">
        <v>12</v>
      </c>
      <c r="E65" s="1">
        <v>1383.3</v>
      </c>
      <c r="F65" s="1">
        <v>8</v>
      </c>
      <c r="G65" s="2">
        <v>0.1</v>
      </c>
      <c r="H65" s="3">
        <v>45478</v>
      </c>
      <c r="I65" s="1">
        <v>497.99</v>
      </c>
    </row>
    <row r="66" spans="1:9" x14ac:dyDescent="0.3">
      <c r="A66" s="1" t="s">
        <v>35</v>
      </c>
      <c r="B66" s="1" t="s">
        <v>55</v>
      </c>
      <c r="C66" s="1" t="s">
        <v>34</v>
      </c>
      <c r="D66" s="1" t="s">
        <v>39</v>
      </c>
      <c r="E66" s="1">
        <v>488.99</v>
      </c>
      <c r="F66" s="1">
        <v>9</v>
      </c>
      <c r="G66" s="2">
        <v>0</v>
      </c>
      <c r="H66" s="3">
        <v>45479</v>
      </c>
      <c r="I66" s="1">
        <v>220.05</v>
      </c>
    </row>
    <row r="67" spans="1:9" x14ac:dyDescent="0.3">
      <c r="A67" s="1" t="s">
        <v>30</v>
      </c>
      <c r="B67" s="1" t="s">
        <v>31</v>
      </c>
      <c r="C67" s="1" t="s">
        <v>18</v>
      </c>
      <c r="D67" s="1" t="s">
        <v>27</v>
      </c>
      <c r="E67" s="1">
        <v>933.71</v>
      </c>
      <c r="F67" s="1">
        <v>17</v>
      </c>
      <c r="G67" s="2">
        <v>0.1</v>
      </c>
      <c r="H67" s="3">
        <v>45481</v>
      </c>
      <c r="I67" s="1">
        <v>294.12</v>
      </c>
    </row>
    <row r="68" spans="1:9" x14ac:dyDescent="0.3">
      <c r="A68" s="1" t="s">
        <v>67</v>
      </c>
      <c r="B68" s="1" t="s">
        <v>10</v>
      </c>
      <c r="C68" s="1" t="s">
        <v>11</v>
      </c>
      <c r="D68" s="1" t="s">
        <v>21</v>
      </c>
      <c r="E68" s="1">
        <v>1005.53</v>
      </c>
      <c r="F68" s="1">
        <v>17</v>
      </c>
      <c r="G68" s="2">
        <v>0.2</v>
      </c>
      <c r="H68" s="3">
        <v>45481</v>
      </c>
      <c r="I68" s="1">
        <v>201.11</v>
      </c>
    </row>
    <row r="69" spans="1:9" x14ac:dyDescent="0.3">
      <c r="A69" s="1" t="s">
        <v>41</v>
      </c>
      <c r="B69" s="1" t="s">
        <v>61</v>
      </c>
      <c r="C69" s="1" t="s">
        <v>20</v>
      </c>
      <c r="D69" s="1" t="s">
        <v>21</v>
      </c>
      <c r="E69" s="1">
        <v>1100.0999999999999</v>
      </c>
      <c r="F69" s="1">
        <v>5</v>
      </c>
      <c r="G69" s="2">
        <v>0.05</v>
      </c>
      <c r="H69" s="3">
        <v>45482</v>
      </c>
      <c r="I69" s="1">
        <v>261.27</v>
      </c>
    </row>
    <row r="70" spans="1:9" x14ac:dyDescent="0.3">
      <c r="A70" s="1" t="s">
        <v>67</v>
      </c>
      <c r="B70" s="1" t="s">
        <v>23</v>
      </c>
      <c r="C70" s="1" t="s">
        <v>24</v>
      </c>
      <c r="D70" s="1" t="s">
        <v>27</v>
      </c>
      <c r="E70" s="1">
        <v>1034.7</v>
      </c>
      <c r="F70" s="1">
        <v>15</v>
      </c>
      <c r="G70" s="2">
        <v>0.15</v>
      </c>
      <c r="H70" s="3">
        <v>45487</v>
      </c>
      <c r="I70" s="1">
        <v>307.82</v>
      </c>
    </row>
    <row r="71" spans="1:9" x14ac:dyDescent="0.3">
      <c r="A71" s="1" t="s">
        <v>65</v>
      </c>
      <c r="B71" s="1" t="s">
        <v>31</v>
      </c>
      <c r="C71" s="1" t="s">
        <v>20</v>
      </c>
      <c r="D71" s="1" t="s">
        <v>12</v>
      </c>
      <c r="E71" s="1">
        <v>876.44</v>
      </c>
      <c r="F71" s="1">
        <v>12</v>
      </c>
      <c r="G71" s="2">
        <v>0.05</v>
      </c>
      <c r="H71" s="3">
        <v>45488</v>
      </c>
      <c r="I71" s="1">
        <v>333.05</v>
      </c>
    </row>
    <row r="72" spans="1:9" x14ac:dyDescent="0.3">
      <c r="A72" s="1" t="s">
        <v>68</v>
      </c>
      <c r="B72" s="1" t="s">
        <v>55</v>
      </c>
      <c r="C72" s="1" t="s">
        <v>11</v>
      </c>
      <c r="D72" s="1" t="s">
        <v>27</v>
      </c>
      <c r="E72" s="1">
        <v>1371.34</v>
      </c>
      <c r="F72" s="1">
        <v>5</v>
      </c>
      <c r="G72" s="2">
        <v>0.05</v>
      </c>
      <c r="H72" s="3">
        <v>45488</v>
      </c>
      <c r="I72" s="1">
        <v>455.97</v>
      </c>
    </row>
    <row r="73" spans="1:9" x14ac:dyDescent="0.3">
      <c r="A73" s="1" t="s">
        <v>57</v>
      </c>
      <c r="B73" s="1" t="s">
        <v>47</v>
      </c>
      <c r="C73" s="1" t="s">
        <v>24</v>
      </c>
      <c r="D73" s="1" t="s">
        <v>21</v>
      </c>
      <c r="E73" s="1">
        <v>1020.26</v>
      </c>
      <c r="F73" s="1">
        <v>11</v>
      </c>
      <c r="G73" s="2">
        <v>0.05</v>
      </c>
      <c r="H73" s="3">
        <v>45494</v>
      </c>
      <c r="I73" s="1">
        <v>242.31</v>
      </c>
    </row>
    <row r="74" spans="1:9" x14ac:dyDescent="0.3">
      <c r="A74" s="1" t="s">
        <v>44</v>
      </c>
      <c r="B74" s="1" t="s">
        <v>10</v>
      </c>
      <c r="C74" s="1" t="s">
        <v>34</v>
      </c>
      <c r="D74" s="1" t="s">
        <v>39</v>
      </c>
      <c r="E74" s="1">
        <v>804.81</v>
      </c>
      <c r="F74" s="1">
        <v>1</v>
      </c>
      <c r="G74" s="2">
        <v>0.05</v>
      </c>
      <c r="H74" s="3">
        <v>45502</v>
      </c>
      <c r="I74" s="1">
        <v>344.06</v>
      </c>
    </row>
    <row r="75" spans="1:9" x14ac:dyDescent="0.3">
      <c r="A75" s="1" t="s">
        <v>22</v>
      </c>
      <c r="B75" s="1" t="s">
        <v>55</v>
      </c>
      <c r="C75" s="1" t="s">
        <v>34</v>
      </c>
      <c r="D75" s="1" t="s">
        <v>21</v>
      </c>
      <c r="E75" s="1">
        <v>608.66</v>
      </c>
      <c r="F75" s="1">
        <v>1</v>
      </c>
      <c r="G75" s="2">
        <v>0.05</v>
      </c>
      <c r="H75" s="3">
        <v>45503</v>
      </c>
      <c r="I75" s="1">
        <v>144.56</v>
      </c>
    </row>
    <row r="76" spans="1:9" x14ac:dyDescent="0.3">
      <c r="A76" s="1" t="s">
        <v>68</v>
      </c>
      <c r="B76" s="1" t="s">
        <v>69</v>
      </c>
      <c r="C76" s="1" t="s">
        <v>20</v>
      </c>
      <c r="D76" s="1" t="s">
        <v>39</v>
      </c>
      <c r="E76" s="1">
        <v>981.2</v>
      </c>
      <c r="F76" s="1">
        <v>19</v>
      </c>
      <c r="G76" s="2">
        <v>0</v>
      </c>
      <c r="H76" s="3">
        <v>45504</v>
      </c>
      <c r="I76" s="1">
        <v>441.54</v>
      </c>
    </row>
    <row r="77" spans="1:9" x14ac:dyDescent="0.3">
      <c r="A77" s="1" t="s">
        <v>70</v>
      </c>
      <c r="B77" s="1" t="s">
        <v>55</v>
      </c>
      <c r="C77" s="1" t="s">
        <v>18</v>
      </c>
      <c r="D77" s="1" t="s">
        <v>21</v>
      </c>
      <c r="E77" s="1">
        <v>539.77</v>
      </c>
      <c r="F77" s="1">
        <v>10</v>
      </c>
      <c r="G77" s="2">
        <v>0.15</v>
      </c>
      <c r="H77" s="3">
        <v>45509</v>
      </c>
      <c r="I77" s="1">
        <v>114.7</v>
      </c>
    </row>
    <row r="78" spans="1:9" x14ac:dyDescent="0.3">
      <c r="A78" s="1" t="s">
        <v>13</v>
      </c>
      <c r="B78" s="1" t="s">
        <v>71</v>
      </c>
      <c r="C78" s="1" t="s">
        <v>20</v>
      </c>
      <c r="D78" s="1" t="s">
        <v>12</v>
      </c>
      <c r="E78" s="1">
        <v>804.45</v>
      </c>
      <c r="F78" s="1">
        <v>5</v>
      </c>
      <c r="G78" s="2">
        <v>0.2</v>
      </c>
      <c r="H78" s="3">
        <v>45509</v>
      </c>
      <c r="I78" s="1">
        <v>257.42</v>
      </c>
    </row>
    <row r="79" spans="1:9" x14ac:dyDescent="0.3">
      <c r="A79" s="1" t="s">
        <v>70</v>
      </c>
      <c r="B79" s="1" t="s">
        <v>38</v>
      </c>
      <c r="C79" s="1" t="s">
        <v>11</v>
      </c>
      <c r="D79" s="1" t="s">
        <v>21</v>
      </c>
      <c r="E79" s="1">
        <v>1526.6</v>
      </c>
      <c r="F79" s="1">
        <v>13</v>
      </c>
      <c r="G79" s="2">
        <v>0.2</v>
      </c>
      <c r="H79" s="3">
        <v>45512</v>
      </c>
      <c r="I79" s="1">
        <v>305.32</v>
      </c>
    </row>
    <row r="80" spans="1:9" x14ac:dyDescent="0.3">
      <c r="A80" s="1" t="s">
        <v>13</v>
      </c>
      <c r="B80" s="1" t="s">
        <v>29</v>
      </c>
      <c r="C80" s="1" t="s">
        <v>11</v>
      </c>
      <c r="D80" s="1" t="s">
        <v>21</v>
      </c>
      <c r="E80" s="1">
        <v>1215.26</v>
      </c>
      <c r="F80" s="1">
        <v>5</v>
      </c>
      <c r="G80" s="2">
        <v>0.15</v>
      </c>
      <c r="H80" s="3">
        <v>45513</v>
      </c>
      <c r="I80" s="1">
        <v>258.24</v>
      </c>
    </row>
    <row r="81" spans="1:9" x14ac:dyDescent="0.3">
      <c r="A81" s="1" t="s">
        <v>19</v>
      </c>
      <c r="B81" s="1" t="s">
        <v>53</v>
      </c>
      <c r="C81" s="1" t="s">
        <v>34</v>
      </c>
      <c r="D81" s="1" t="s">
        <v>27</v>
      </c>
      <c r="E81" s="1">
        <v>1261.3399999999999</v>
      </c>
      <c r="F81" s="1">
        <v>3</v>
      </c>
      <c r="G81" s="2">
        <v>0</v>
      </c>
      <c r="H81" s="3">
        <v>45519</v>
      </c>
      <c r="I81" s="1">
        <v>441.47</v>
      </c>
    </row>
    <row r="82" spans="1:9" x14ac:dyDescent="0.3">
      <c r="A82" s="1" t="s">
        <v>72</v>
      </c>
      <c r="B82" s="1" t="s">
        <v>45</v>
      </c>
      <c r="C82" s="1" t="s">
        <v>24</v>
      </c>
      <c r="D82" s="1" t="s">
        <v>27</v>
      </c>
      <c r="E82" s="1">
        <v>518.07000000000005</v>
      </c>
      <c r="F82" s="1">
        <v>7</v>
      </c>
      <c r="G82" s="2">
        <v>0.05</v>
      </c>
      <c r="H82" s="3">
        <v>45522</v>
      </c>
      <c r="I82" s="1">
        <v>172.26</v>
      </c>
    </row>
    <row r="83" spans="1:9" x14ac:dyDescent="0.3">
      <c r="A83" s="1" t="s">
        <v>30</v>
      </c>
      <c r="B83" s="1" t="s">
        <v>29</v>
      </c>
      <c r="C83" s="1" t="s">
        <v>11</v>
      </c>
      <c r="D83" s="1" t="s">
        <v>39</v>
      </c>
      <c r="E83" s="1">
        <v>1111.3399999999999</v>
      </c>
      <c r="F83" s="1">
        <v>1</v>
      </c>
      <c r="G83" s="2">
        <v>0</v>
      </c>
      <c r="H83" s="3">
        <v>45523</v>
      </c>
      <c r="I83" s="1">
        <v>500.1</v>
      </c>
    </row>
    <row r="84" spans="1:9" x14ac:dyDescent="0.3">
      <c r="A84" s="1" t="s">
        <v>22</v>
      </c>
      <c r="B84" s="1" t="s">
        <v>31</v>
      </c>
      <c r="C84" s="1" t="s">
        <v>18</v>
      </c>
      <c r="D84" s="1" t="s">
        <v>15</v>
      </c>
      <c r="E84" s="1">
        <v>1291.47</v>
      </c>
      <c r="F84" s="1">
        <v>18</v>
      </c>
      <c r="G84" s="2">
        <v>0.1</v>
      </c>
      <c r="H84" s="3">
        <v>45526</v>
      </c>
      <c r="I84" s="1">
        <v>581.16</v>
      </c>
    </row>
    <row r="85" spans="1:9" x14ac:dyDescent="0.3">
      <c r="A85" s="1" t="s">
        <v>25</v>
      </c>
      <c r="B85" s="1" t="s">
        <v>55</v>
      </c>
      <c r="C85" s="1" t="s">
        <v>24</v>
      </c>
      <c r="D85" s="1" t="s">
        <v>12</v>
      </c>
      <c r="E85" s="1">
        <v>679.71</v>
      </c>
      <c r="F85" s="1">
        <v>19</v>
      </c>
      <c r="G85" s="2">
        <v>0</v>
      </c>
      <c r="H85" s="3">
        <v>45534</v>
      </c>
      <c r="I85" s="1">
        <v>271.88</v>
      </c>
    </row>
    <row r="86" spans="1:9" x14ac:dyDescent="0.3">
      <c r="A86" s="1" t="s">
        <v>68</v>
      </c>
      <c r="B86" s="1" t="s">
        <v>33</v>
      </c>
      <c r="C86" s="1" t="s">
        <v>18</v>
      </c>
      <c r="D86" s="1" t="s">
        <v>27</v>
      </c>
      <c r="E86" s="1">
        <v>1143.69</v>
      </c>
      <c r="F86" s="1">
        <v>17</v>
      </c>
      <c r="G86" s="2">
        <v>0</v>
      </c>
      <c r="H86" s="3">
        <v>45534</v>
      </c>
      <c r="I86" s="1">
        <v>400.29</v>
      </c>
    </row>
    <row r="87" spans="1:9" x14ac:dyDescent="0.3">
      <c r="A87" s="1" t="s">
        <v>52</v>
      </c>
      <c r="B87" s="1" t="s">
        <v>50</v>
      </c>
      <c r="C87" s="1" t="s">
        <v>34</v>
      </c>
      <c r="D87" s="1" t="s">
        <v>21</v>
      </c>
      <c r="E87" s="1">
        <v>790.08</v>
      </c>
      <c r="F87" s="1">
        <v>7</v>
      </c>
      <c r="G87" s="2">
        <v>0.1</v>
      </c>
      <c r="H87" s="3">
        <v>45536</v>
      </c>
      <c r="I87" s="1">
        <v>177.77</v>
      </c>
    </row>
    <row r="88" spans="1:9" x14ac:dyDescent="0.3">
      <c r="A88" s="1" t="s">
        <v>19</v>
      </c>
      <c r="B88" s="1" t="s">
        <v>48</v>
      </c>
      <c r="C88" s="1" t="s">
        <v>34</v>
      </c>
      <c r="D88" s="1" t="s">
        <v>12</v>
      </c>
      <c r="E88" s="1">
        <v>1070.68</v>
      </c>
      <c r="F88" s="1">
        <v>7</v>
      </c>
      <c r="G88" s="2">
        <v>0.05</v>
      </c>
      <c r="H88" s="3">
        <v>45536</v>
      </c>
      <c r="I88" s="1">
        <v>406.86</v>
      </c>
    </row>
    <row r="89" spans="1:9" x14ac:dyDescent="0.3">
      <c r="A89" s="1" t="s">
        <v>58</v>
      </c>
      <c r="B89" s="1" t="s">
        <v>36</v>
      </c>
      <c r="C89" s="1" t="s">
        <v>11</v>
      </c>
      <c r="D89" s="1" t="s">
        <v>15</v>
      </c>
      <c r="E89" s="1">
        <v>1168.8900000000001</v>
      </c>
      <c r="F89" s="1">
        <v>4</v>
      </c>
      <c r="G89" s="2">
        <v>0.1</v>
      </c>
      <c r="H89" s="3">
        <v>45544</v>
      </c>
      <c r="I89" s="1">
        <v>526</v>
      </c>
    </row>
    <row r="90" spans="1:9" x14ac:dyDescent="0.3">
      <c r="A90" s="1" t="s">
        <v>67</v>
      </c>
      <c r="B90" s="1" t="s">
        <v>10</v>
      </c>
      <c r="C90" s="1" t="s">
        <v>20</v>
      </c>
      <c r="D90" s="1" t="s">
        <v>21</v>
      </c>
      <c r="E90" s="1">
        <v>1335.87</v>
      </c>
      <c r="F90" s="1">
        <v>17</v>
      </c>
      <c r="G90" s="2">
        <v>0</v>
      </c>
      <c r="H90" s="3">
        <v>45544</v>
      </c>
      <c r="I90" s="1">
        <v>333.97</v>
      </c>
    </row>
    <row r="91" spans="1:9" x14ac:dyDescent="0.3">
      <c r="A91" s="1" t="s">
        <v>40</v>
      </c>
      <c r="B91" s="1" t="s">
        <v>55</v>
      </c>
      <c r="C91" s="1" t="s">
        <v>18</v>
      </c>
      <c r="D91" s="1" t="s">
        <v>27</v>
      </c>
      <c r="E91" s="1">
        <v>873.7</v>
      </c>
      <c r="F91" s="1">
        <v>9</v>
      </c>
      <c r="G91" s="2">
        <v>0</v>
      </c>
      <c r="H91" s="3">
        <v>45546</v>
      </c>
      <c r="I91" s="1">
        <v>305.8</v>
      </c>
    </row>
    <row r="92" spans="1:9" x14ac:dyDescent="0.3">
      <c r="A92" s="1" t="s">
        <v>72</v>
      </c>
      <c r="B92" s="1" t="s">
        <v>64</v>
      </c>
      <c r="C92" s="1" t="s">
        <v>11</v>
      </c>
      <c r="D92" s="1" t="s">
        <v>39</v>
      </c>
      <c r="E92" s="1">
        <v>1443.98</v>
      </c>
      <c r="F92" s="1">
        <v>19</v>
      </c>
      <c r="G92" s="2">
        <v>0</v>
      </c>
      <c r="H92" s="3">
        <v>45547</v>
      </c>
      <c r="I92" s="1">
        <v>649.79</v>
      </c>
    </row>
    <row r="93" spans="1:9" x14ac:dyDescent="0.3">
      <c r="A93" s="1" t="s">
        <v>40</v>
      </c>
      <c r="B93" s="1" t="s">
        <v>23</v>
      </c>
      <c r="C93" s="1" t="s">
        <v>18</v>
      </c>
      <c r="D93" s="1" t="s">
        <v>39</v>
      </c>
      <c r="E93" s="1">
        <v>1154.33</v>
      </c>
      <c r="F93" s="1">
        <v>11</v>
      </c>
      <c r="G93" s="2">
        <v>0.15</v>
      </c>
      <c r="H93" s="3">
        <v>45549</v>
      </c>
      <c r="I93" s="1">
        <v>441.53</v>
      </c>
    </row>
    <row r="94" spans="1:9" x14ac:dyDescent="0.3">
      <c r="A94" s="1" t="s">
        <v>49</v>
      </c>
      <c r="B94" s="1" t="s">
        <v>50</v>
      </c>
      <c r="C94" s="1" t="s">
        <v>20</v>
      </c>
      <c r="D94" s="1" t="s">
        <v>12</v>
      </c>
      <c r="E94" s="1">
        <v>1264.49</v>
      </c>
      <c r="F94" s="1">
        <v>16</v>
      </c>
      <c r="G94" s="2">
        <v>0.05</v>
      </c>
      <c r="H94" s="3">
        <v>45549</v>
      </c>
      <c r="I94" s="1">
        <v>480.51</v>
      </c>
    </row>
    <row r="95" spans="1:9" x14ac:dyDescent="0.3">
      <c r="A95" s="1" t="s">
        <v>25</v>
      </c>
      <c r="B95" s="1" t="s">
        <v>66</v>
      </c>
      <c r="C95" s="1" t="s">
        <v>11</v>
      </c>
      <c r="D95" s="1" t="s">
        <v>27</v>
      </c>
      <c r="E95" s="1">
        <v>1101.55</v>
      </c>
      <c r="F95" s="1">
        <v>4</v>
      </c>
      <c r="G95" s="2">
        <v>0.1</v>
      </c>
      <c r="H95" s="3">
        <v>45551</v>
      </c>
      <c r="I95" s="1">
        <v>346.99</v>
      </c>
    </row>
    <row r="96" spans="1:9" x14ac:dyDescent="0.3">
      <c r="A96" s="1" t="s">
        <v>73</v>
      </c>
      <c r="B96" s="1" t="s">
        <v>14</v>
      </c>
      <c r="C96" s="1" t="s">
        <v>20</v>
      </c>
      <c r="D96" s="1" t="s">
        <v>27</v>
      </c>
      <c r="E96" s="1">
        <v>727.73</v>
      </c>
      <c r="F96" s="1">
        <v>1</v>
      </c>
      <c r="G96" s="2">
        <v>0.1</v>
      </c>
      <c r="H96" s="3">
        <v>45552</v>
      </c>
      <c r="I96" s="1">
        <v>229.23</v>
      </c>
    </row>
    <row r="97" spans="1:9" x14ac:dyDescent="0.3">
      <c r="A97" s="1" t="s">
        <v>74</v>
      </c>
      <c r="B97" s="1" t="s">
        <v>38</v>
      </c>
      <c r="C97" s="1" t="s">
        <v>18</v>
      </c>
      <c r="D97" s="1" t="s">
        <v>39</v>
      </c>
      <c r="E97" s="1">
        <v>875.41</v>
      </c>
      <c r="F97" s="1">
        <v>13</v>
      </c>
      <c r="G97" s="2">
        <v>0.15</v>
      </c>
      <c r="H97" s="3">
        <v>45552</v>
      </c>
      <c r="I97" s="1">
        <v>334.84</v>
      </c>
    </row>
    <row r="98" spans="1:9" x14ac:dyDescent="0.3">
      <c r="A98" s="1" t="s">
        <v>67</v>
      </c>
      <c r="B98" s="1" t="s">
        <v>23</v>
      </c>
      <c r="C98" s="1" t="s">
        <v>11</v>
      </c>
      <c r="D98" s="1" t="s">
        <v>21</v>
      </c>
      <c r="E98" s="1">
        <v>1158.94</v>
      </c>
      <c r="F98" s="1">
        <v>19</v>
      </c>
      <c r="G98" s="2">
        <v>0.2</v>
      </c>
      <c r="H98" s="3">
        <v>45553</v>
      </c>
      <c r="I98" s="1">
        <v>231.79</v>
      </c>
    </row>
    <row r="99" spans="1:9" x14ac:dyDescent="0.3">
      <c r="A99" s="1" t="s">
        <v>75</v>
      </c>
      <c r="B99" s="1" t="s">
        <v>47</v>
      </c>
      <c r="C99" s="1" t="s">
        <v>20</v>
      </c>
      <c r="D99" s="1" t="s">
        <v>12</v>
      </c>
      <c r="E99" s="1">
        <v>966.3</v>
      </c>
      <c r="F99" s="1">
        <v>2</v>
      </c>
      <c r="G99" s="2">
        <v>0.15</v>
      </c>
      <c r="H99" s="3">
        <v>45557</v>
      </c>
      <c r="I99" s="1">
        <v>328.54</v>
      </c>
    </row>
    <row r="100" spans="1:9" x14ac:dyDescent="0.3">
      <c r="A100" s="1" t="s">
        <v>68</v>
      </c>
      <c r="B100" s="1" t="s">
        <v>17</v>
      </c>
      <c r="C100" s="1" t="s">
        <v>20</v>
      </c>
      <c r="D100" s="1" t="s">
        <v>12</v>
      </c>
      <c r="E100" s="1">
        <v>917.48</v>
      </c>
      <c r="F100" s="1">
        <v>6</v>
      </c>
      <c r="G100" s="2">
        <v>0</v>
      </c>
      <c r="H100" s="3">
        <v>45558</v>
      </c>
      <c r="I100" s="1">
        <v>366.99</v>
      </c>
    </row>
    <row r="101" spans="1:9" x14ac:dyDescent="0.3">
      <c r="A101" s="1" t="s">
        <v>41</v>
      </c>
      <c r="B101" s="1" t="s">
        <v>61</v>
      </c>
      <c r="C101" s="1" t="s">
        <v>11</v>
      </c>
      <c r="D101" s="1" t="s">
        <v>27</v>
      </c>
      <c r="E101" s="1">
        <v>1172.97</v>
      </c>
      <c r="F101" s="1">
        <v>7</v>
      </c>
      <c r="G101" s="2">
        <v>0.15</v>
      </c>
      <c r="H101" s="3">
        <v>45559</v>
      </c>
      <c r="I101" s="1">
        <v>348.96</v>
      </c>
    </row>
    <row r="102" spans="1:9" x14ac:dyDescent="0.3">
      <c r="A102" s="1" t="s">
        <v>57</v>
      </c>
      <c r="B102" s="1" t="s">
        <v>23</v>
      </c>
      <c r="C102" s="1" t="s">
        <v>24</v>
      </c>
      <c r="D102" s="1" t="s">
        <v>15</v>
      </c>
      <c r="E102" s="1">
        <v>1205.82</v>
      </c>
      <c r="F102" s="1">
        <v>11</v>
      </c>
      <c r="G102" s="2">
        <v>0.1</v>
      </c>
      <c r="H102" s="3">
        <v>45559</v>
      </c>
      <c r="I102" s="1">
        <v>542.62</v>
      </c>
    </row>
    <row r="103" spans="1:9" x14ac:dyDescent="0.3">
      <c r="A103" s="1" t="s">
        <v>16</v>
      </c>
      <c r="B103" s="1" t="s">
        <v>64</v>
      </c>
      <c r="C103" s="1" t="s">
        <v>11</v>
      </c>
      <c r="D103" s="1" t="s">
        <v>39</v>
      </c>
      <c r="E103" s="1">
        <v>826.93</v>
      </c>
      <c r="F103" s="1">
        <v>10</v>
      </c>
      <c r="G103" s="2">
        <v>0.2</v>
      </c>
      <c r="H103" s="3">
        <v>45564</v>
      </c>
      <c r="I103" s="1">
        <v>297.69</v>
      </c>
    </row>
    <row r="104" spans="1:9" x14ac:dyDescent="0.3">
      <c r="A104" s="1" t="s">
        <v>67</v>
      </c>
      <c r="B104" s="1" t="s">
        <v>23</v>
      </c>
      <c r="C104" s="1" t="s">
        <v>34</v>
      </c>
      <c r="D104" s="1" t="s">
        <v>15</v>
      </c>
      <c r="E104" s="1">
        <v>902.19</v>
      </c>
      <c r="F104" s="1">
        <v>12</v>
      </c>
      <c r="G104" s="2">
        <v>0</v>
      </c>
      <c r="H104" s="3">
        <v>45564</v>
      </c>
      <c r="I104" s="1">
        <v>451.1</v>
      </c>
    </row>
    <row r="105" spans="1:9" x14ac:dyDescent="0.3">
      <c r="A105" s="1" t="s">
        <v>74</v>
      </c>
      <c r="B105" s="1" t="s">
        <v>38</v>
      </c>
      <c r="C105" s="1" t="s">
        <v>24</v>
      </c>
      <c r="D105" s="1" t="s">
        <v>12</v>
      </c>
      <c r="E105" s="1">
        <v>585.97</v>
      </c>
      <c r="F105" s="1">
        <v>17</v>
      </c>
      <c r="G105" s="2">
        <v>0.1</v>
      </c>
      <c r="H105" s="3">
        <v>45565</v>
      </c>
      <c r="I105" s="1">
        <v>210.95</v>
      </c>
    </row>
    <row r="106" spans="1:9" ht="15" customHeight="1" x14ac:dyDescent="0.3">
      <c r="A106" s="1" t="s">
        <v>60</v>
      </c>
      <c r="B106" s="1" t="s">
        <v>26</v>
      </c>
      <c r="C106" s="1" t="s">
        <v>24</v>
      </c>
      <c r="D106" s="1" t="s">
        <v>15</v>
      </c>
      <c r="E106" s="1">
        <v>990.19</v>
      </c>
      <c r="F106" s="1">
        <v>8</v>
      </c>
      <c r="G106" s="2">
        <v>0.1</v>
      </c>
      <c r="H106" s="3">
        <v>45565</v>
      </c>
      <c r="I106" s="1">
        <v>445.59</v>
      </c>
    </row>
    <row r="107" spans="1:9" x14ac:dyDescent="0.3">
      <c r="A107" s="1" t="s">
        <v>44</v>
      </c>
      <c r="B107" s="1" t="s">
        <v>56</v>
      </c>
      <c r="C107" s="1" t="s">
        <v>34</v>
      </c>
      <c r="D107" s="1" t="s">
        <v>21</v>
      </c>
      <c r="E107" s="1">
        <v>1014.09</v>
      </c>
      <c r="F107" s="1">
        <v>13</v>
      </c>
      <c r="G107" s="2">
        <v>0.2</v>
      </c>
      <c r="H107" s="3">
        <v>45567</v>
      </c>
      <c r="I107" s="1">
        <v>202.82</v>
      </c>
    </row>
    <row r="108" spans="1:9" x14ac:dyDescent="0.3">
      <c r="A108" s="1" t="s">
        <v>13</v>
      </c>
      <c r="B108" s="1" t="s">
        <v>48</v>
      </c>
      <c r="C108" s="1" t="s">
        <v>24</v>
      </c>
      <c r="D108" s="1" t="s">
        <v>21</v>
      </c>
      <c r="E108" s="1">
        <v>925.29</v>
      </c>
      <c r="F108" s="1">
        <v>17</v>
      </c>
      <c r="G108" s="2">
        <v>0</v>
      </c>
      <c r="H108" s="3">
        <v>45570</v>
      </c>
      <c r="I108" s="1">
        <v>231.32</v>
      </c>
    </row>
    <row r="109" spans="1:9" x14ac:dyDescent="0.3">
      <c r="A109" s="1" t="s">
        <v>54</v>
      </c>
      <c r="B109" s="1" t="s">
        <v>47</v>
      </c>
      <c r="C109" s="1" t="s">
        <v>18</v>
      </c>
      <c r="D109" s="1" t="s">
        <v>27</v>
      </c>
      <c r="E109" s="1">
        <v>1286.54</v>
      </c>
      <c r="F109" s="1">
        <v>8</v>
      </c>
      <c r="G109" s="2">
        <v>0</v>
      </c>
      <c r="H109" s="3">
        <v>45575</v>
      </c>
      <c r="I109" s="1">
        <v>450.29</v>
      </c>
    </row>
    <row r="110" spans="1:9" x14ac:dyDescent="0.3">
      <c r="A110" s="1" t="s">
        <v>37</v>
      </c>
      <c r="B110" s="1" t="s">
        <v>64</v>
      </c>
      <c r="C110" s="1" t="s">
        <v>20</v>
      </c>
      <c r="D110" s="1" t="s">
        <v>12</v>
      </c>
      <c r="E110" s="1">
        <v>961.62</v>
      </c>
      <c r="F110" s="1">
        <v>8</v>
      </c>
      <c r="G110" s="2">
        <v>0.2</v>
      </c>
      <c r="H110" s="3">
        <v>45577</v>
      </c>
      <c r="I110" s="1">
        <v>307.72000000000003</v>
      </c>
    </row>
    <row r="111" spans="1:9" x14ac:dyDescent="0.3">
      <c r="A111" s="1" t="s">
        <v>44</v>
      </c>
      <c r="B111" s="1" t="s">
        <v>23</v>
      </c>
      <c r="C111" s="1" t="s">
        <v>18</v>
      </c>
      <c r="D111" s="1" t="s">
        <v>12</v>
      </c>
      <c r="E111" s="1">
        <v>1081.1400000000001</v>
      </c>
      <c r="F111" s="1">
        <v>19</v>
      </c>
      <c r="G111" s="2">
        <v>0.15</v>
      </c>
      <c r="H111" s="3">
        <v>45577</v>
      </c>
      <c r="I111" s="1">
        <v>367.59</v>
      </c>
    </row>
    <row r="112" spans="1:9" x14ac:dyDescent="0.3">
      <c r="A112" s="1" t="s">
        <v>58</v>
      </c>
      <c r="B112" s="1" t="s">
        <v>23</v>
      </c>
      <c r="C112" s="1" t="s">
        <v>11</v>
      </c>
      <c r="D112" s="1" t="s">
        <v>15</v>
      </c>
      <c r="E112" s="1">
        <v>1923.66</v>
      </c>
      <c r="F112" s="1">
        <v>9</v>
      </c>
      <c r="G112" s="2">
        <v>0.2</v>
      </c>
      <c r="H112" s="3">
        <v>45580</v>
      </c>
      <c r="I112" s="1">
        <v>769.46</v>
      </c>
    </row>
    <row r="113" spans="1:9" x14ac:dyDescent="0.3">
      <c r="A113" s="1" t="s">
        <v>54</v>
      </c>
      <c r="B113" s="1" t="s">
        <v>66</v>
      </c>
      <c r="C113" s="1" t="s">
        <v>34</v>
      </c>
      <c r="D113" s="1" t="s">
        <v>15</v>
      </c>
      <c r="E113" s="1">
        <v>728.71</v>
      </c>
      <c r="F113" s="1">
        <v>14</v>
      </c>
      <c r="G113" s="2">
        <v>0.1</v>
      </c>
      <c r="H113" s="3">
        <v>45581</v>
      </c>
      <c r="I113" s="1">
        <v>327.92</v>
      </c>
    </row>
    <row r="114" spans="1:9" x14ac:dyDescent="0.3">
      <c r="A114" s="1" t="s">
        <v>9</v>
      </c>
      <c r="B114" s="1" t="s">
        <v>33</v>
      </c>
      <c r="C114" s="1" t="s">
        <v>34</v>
      </c>
      <c r="D114" s="1" t="s">
        <v>15</v>
      </c>
      <c r="E114" s="1">
        <v>1301.8900000000001</v>
      </c>
      <c r="F114" s="1">
        <v>7</v>
      </c>
      <c r="G114" s="2">
        <v>0.15</v>
      </c>
      <c r="H114" s="3">
        <v>45581</v>
      </c>
      <c r="I114" s="1">
        <v>553.29999999999995</v>
      </c>
    </row>
    <row r="115" spans="1:9" x14ac:dyDescent="0.3">
      <c r="A115" s="1" t="s">
        <v>70</v>
      </c>
      <c r="B115" s="1" t="s">
        <v>66</v>
      </c>
      <c r="C115" s="1" t="s">
        <v>18</v>
      </c>
      <c r="D115" s="1" t="s">
        <v>12</v>
      </c>
      <c r="E115" s="1">
        <v>980.18</v>
      </c>
      <c r="F115" s="1">
        <v>16</v>
      </c>
      <c r="G115" s="2">
        <v>0.1</v>
      </c>
      <c r="H115" s="3">
        <v>45582</v>
      </c>
      <c r="I115" s="1">
        <v>352.86</v>
      </c>
    </row>
    <row r="116" spans="1:9" x14ac:dyDescent="0.3">
      <c r="A116" s="1" t="s">
        <v>74</v>
      </c>
      <c r="B116" s="1" t="s">
        <v>23</v>
      </c>
      <c r="C116" s="1" t="s">
        <v>11</v>
      </c>
      <c r="D116" s="1" t="s">
        <v>15</v>
      </c>
      <c r="E116" s="1">
        <v>697.57</v>
      </c>
      <c r="F116" s="1">
        <v>17</v>
      </c>
      <c r="G116" s="2">
        <v>0.1</v>
      </c>
      <c r="H116" s="3">
        <v>45584</v>
      </c>
      <c r="I116" s="1">
        <v>313.91000000000003</v>
      </c>
    </row>
    <row r="117" spans="1:9" x14ac:dyDescent="0.3">
      <c r="A117" s="1" t="s">
        <v>46</v>
      </c>
      <c r="B117" s="1" t="s">
        <v>71</v>
      </c>
      <c r="C117" s="1" t="s">
        <v>11</v>
      </c>
      <c r="D117" s="1" t="s">
        <v>27</v>
      </c>
      <c r="E117" s="1">
        <v>1193.6099999999999</v>
      </c>
      <c r="F117" s="1">
        <v>1</v>
      </c>
      <c r="G117" s="2">
        <v>0.15</v>
      </c>
      <c r="H117" s="3">
        <v>45584</v>
      </c>
      <c r="I117" s="1">
        <v>355.1</v>
      </c>
    </row>
    <row r="118" spans="1:9" x14ac:dyDescent="0.3">
      <c r="A118" s="1" t="s">
        <v>32</v>
      </c>
      <c r="B118" s="1" t="s">
        <v>38</v>
      </c>
      <c r="C118" s="1" t="s">
        <v>20</v>
      </c>
      <c r="D118" s="1" t="s">
        <v>21</v>
      </c>
      <c r="E118" s="1">
        <v>771.02</v>
      </c>
      <c r="F118" s="1">
        <v>1</v>
      </c>
      <c r="G118" s="2">
        <v>0</v>
      </c>
      <c r="H118" s="3">
        <v>45585</v>
      </c>
      <c r="I118" s="1">
        <v>192.76</v>
      </c>
    </row>
    <row r="119" spans="1:9" x14ac:dyDescent="0.3">
      <c r="A119" s="1" t="s">
        <v>67</v>
      </c>
      <c r="B119" s="1" t="s">
        <v>69</v>
      </c>
      <c r="C119" s="1" t="s">
        <v>24</v>
      </c>
      <c r="D119" s="1" t="s">
        <v>15</v>
      </c>
      <c r="E119" s="1">
        <v>661.09</v>
      </c>
      <c r="F119" s="1">
        <v>1</v>
      </c>
      <c r="G119" s="2">
        <v>0.2</v>
      </c>
      <c r="H119" s="3">
        <v>45593</v>
      </c>
      <c r="I119" s="1">
        <v>264.44</v>
      </c>
    </row>
    <row r="120" spans="1:9" x14ac:dyDescent="0.3">
      <c r="A120" s="1" t="s">
        <v>13</v>
      </c>
      <c r="B120" s="1" t="s">
        <v>55</v>
      </c>
      <c r="C120" s="1" t="s">
        <v>11</v>
      </c>
      <c r="D120" s="1" t="s">
        <v>21</v>
      </c>
      <c r="E120" s="1">
        <v>688.83</v>
      </c>
      <c r="F120" s="1">
        <v>15</v>
      </c>
      <c r="G120" s="2">
        <v>0</v>
      </c>
      <c r="H120" s="3">
        <v>45595</v>
      </c>
      <c r="I120" s="1">
        <v>172.21</v>
      </c>
    </row>
    <row r="121" spans="1:9" x14ac:dyDescent="0.3">
      <c r="A121" s="1" t="s">
        <v>73</v>
      </c>
      <c r="B121" s="1" t="s">
        <v>29</v>
      </c>
      <c r="C121" s="1" t="s">
        <v>34</v>
      </c>
      <c r="D121" s="1" t="s">
        <v>12</v>
      </c>
      <c r="E121" s="1">
        <v>1249.0999999999999</v>
      </c>
      <c r="F121" s="1">
        <v>4</v>
      </c>
      <c r="G121" s="2">
        <v>0.05</v>
      </c>
      <c r="H121" s="3">
        <v>45597</v>
      </c>
      <c r="I121" s="1">
        <v>474.66</v>
      </c>
    </row>
    <row r="122" spans="1:9" x14ac:dyDescent="0.3">
      <c r="A122" s="1" t="s">
        <v>44</v>
      </c>
      <c r="B122" s="1" t="s">
        <v>23</v>
      </c>
      <c r="C122" s="1" t="s">
        <v>18</v>
      </c>
      <c r="D122" s="1" t="s">
        <v>39</v>
      </c>
      <c r="E122" s="1">
        <v>1014.22</v>
      </c>
      <c r="F122" s="1">
        <v>14</v>
      </c>
      <c r="G122" s="2">
        <v>0.05</v>
      </c>
      <c r="H122" s="3">
        <v>45599</v>
      </c>
      <c r="I122" s="1">
        <v>433.58</v>
      </c>
    </row>
    <row r="123" spans="1:9" x14ac:dyDescent="0.3">
      <c r="A123" s="1" t="s">
        <v>54</v>
      </c>
      <c r="B123" s="1" t="s">
        <v>48</v>
      </c>
      <c r="C123" s="1" t="s">
        <v>18</v>
      </c>
      <c r="D123" s="1" t="s">
        <v>12</v>
      </c>
      <c r="E123" s="1">
        <v>1010.58</v>
      </c>
      <c r="F123" s="1">
        <v>2</v>
      </c>
      <c r="G123" s="2">
        <v>0.15</v>
      </c>
      <c r="H123" s="3">
        <v>45605</v>
      </c>
      <c r="I123" s="1">
        <v>343.6</v>
      </c>
    </row>
    <row r="124" spans="1:9" x14ac:dyDescent="0.3">
      <c r="A124" s="1" t="s">
        <v>30</v>
      </c>
      <c r="B124" s="1" t="s">
        <v>59</v>
      </c>
      <c r="C124" s="1" t="s">
        <v>24</v>
      </c>
      <c r="D124" s="1" t="s">
        <v>27</v>
      </c>
      <c r="E124" s="1">
        <v>957.29</v>
      </c>
      <c r="F124" s="1">
        <v>4</v>
      </c>
      <c r="G124" s="2">
        <v>0.05</v>
      </c>
      <c r="H124" s="3">
        <v>45605</v>
      </c>
      <c r="I124" s="1">
        <v>318.3</v>
      </c>
    </row>
    <row r="125" spans="1:9" x14ac:dyDescent="0.3">
      <c r="A125" s="1" t="s">
        <v>28</v>
      </c>
      <c r="B125" s="1" t="s">
        <v>45</v>
      </c>
      <c r="C125" s="1" t="s">
        <v>24</v>
      </c>
      <c r="D125" s="1" t="s">
        <v>27</v>
      </c>
      <c r="E125" s="1">
        <v>1077.92</v>
      </c>
      <c r="F125" s="1">
        <v>3</v>
      </c>
      <c r="G125" s="2">
        <v>0.05</v>
      </c>
      <c r="H125" s="3">
        <v>45608</v>
      </c>
      <c r="I125" s="1">
        <v>358.41</v>
      </c>
    </row>
    <row r="126" spans="1:9" x14ac:dyDescent="0.3">
      <c r="A126" s="1" t="s">
        <v>52</v>
      </c>
      <c r="B126" s="1" t="s">
        <v>50</v>
      </c>
      <c r="C126" s="1" t="s">
        <v>20</v>
      </c>
      <c r="D126" s="1" t="s">
        <v>15</v>
      </c>
      <c r="E126" s="1">
        <v>1163.01</v>
      </c>
      <c r="F126" s="1">
        <v>5</v>
      </c>
      <c r="G126" s="2">
        <v>0</v>
      </c>
      <c r="H126" s="3">
        <v>45611</v>
      </c>
      <c r="I126" s="1">
        <v>581.5</v>
      </c>
    </row>
    <row r="127" spans="1:9" x14ac:dyDescent="0.3">
      <c r="A127" s="1" t="s">
        <v>54</v>
      </c>
      <c r="B127" s="1" t="s">
        <v>45</v>
      </c>
      <c r="C127" s="1" t="s">
        <v>18</v>
      </c>
      <c r="D127" s="1" t="s">
        <v>39</v>
      </c>
      <c r="E127" s="1">
        <v>1014.56</v>
      </c>
      <c r="F127" s="1">
        <v>10</v>
      </c>
      <c r="G127" s="2">
        <v>0.1</v>
      </c>
      <c r="H127" s="3">
        <v>45612</v>
      </c>
      <c r="I127" s="1">
        <v>410.9</v>
      </c>
    </row>
    <row r="128" spans="1:9" x14ac:dyDescent="0.3">
      <c r="A128" s="1" t="s">
        <v>9</v>
      </c>
      <c r="B128" s="1" t="s">
        <v>17</v>
      </c>
      <c r="C128" s="1" t="s">
        <v>20</v>
      </c>
      <c r="D128" s="1" t="s">
        <v>21</v>
      </c>
      <c r="E128" s="1">
        <v>718.04</v>
      </c>
      <c r="F128" s="1">
        <v>14</v>
      </c>
      <c r="G128" s="2">
        <v>0</v>
      </c>
      <c r="H128" s="3">
        <v>45613</v>
      </c>
      <c r="I128" s="1">
        <v>179.51</v>
      </c>
    </row>
    <row r="129" spans="1:9" x14ac:dyDescent="0.3">
      <c r="A129" s="1" t="s">
        <v>72</v>
      </c>
      <c r="B129" s="1" t="s">
        <v>17</v>
      </c>
      <c r="C129" s="1" t="s">
        <v>34</v>
      </c>
      <c r="D129" s="1" t="s">
        <v>15</v>
      </c>
      <c r="E129" s="1">
        <v>1277.8499999999999</v>
      </c>
      <c r="F129" s="1">
        <v>18</v>
      </c>
      <c r="G129" s="2">
        <v>0.2</v>
      </c>
      <c r="H129" s="3">
        <v>45613</v>
      </c>
      <c r="I129" s="1">
        <v>511.14</v>
      </c>
    </row>
    <row r="130" spans="1:9" x14ac:dyDescent="0.3">
      <c r="A130" s="1" t="s">
        <v>70</v>
      </c>
      <c r="B130" s="1" t="s">
        <v>23</v>
      </c>
      <c r="C130" s="1" t="s">
        <v>24</v>
      </c>
      <c r="D130" s="1" t="s">
        <v>21</v>
      </c>
      <c r="E130" s="1">
        <v>706.73</v>
      </c>
      <c r="F130" s="1">
        <v>1</v>
      </c>
      <c r="G130" s="2">
        <v>0.15</v>
      </c>
      <c r="H130" s="3">
        <v>45613</v>
      </c>
      <c r="I130" s="1">
        <v>150.18</v>
      </c>
    </row>
    <row r="131" spans="1:9" x14ac:dyDescent="0.3">
      <c r="A131" s="1" t="s">
        <v>65</v>
      </c>
      <c r="B131" s="1" t="s">
        <v>50</v>
      </c>
      <c r="C131" s="1" t="s">
        <v>18</v>
      </c>
      <c r="D131" s="1" t="s">
        <v>21</v>
      </c>
      <c r="E131" s="1">
        <v>1410.59</v>
      </c>
      <c r="F131" s="1">
        <v>15</v>
      </c>
      <c r="G131" s="2">
        <v>0</v>
      </c>
      <c r="H131" s="3">
        <v>45615</v>
      </c>
      <c r="I131" s="1">
        <v>352.65</v>
      </c>
    </row>
    <row r="132" spans="1:9" x14ac:dyDescent="0.3">
      <c r="A132" s="1" t="s">
        <v>32</v>
      </c>
      <c r="B132" s="1" t="s">
        <v>61</v>
      </c>
      <c r="C132" s="1" t="s">
        <v>20</v>
      </c>
      <c r="D132" s="1" t="s">
        <v>27</v>
      </c>
      <c r="E132" s="1">
        <v>1350.33</v>
      </c>
      <c r="F132" s="1">
        <v>10</v>
      </c>
      <c r="G132" s="2">
        <v>0</v>
      </c>
      <c r="H132" s="3">
        <v>45615</v>
      </c>
      <c r="I132" s="1">
        <v>472.62</v>
      </c>
    </row>
    <row r="133" spans="1:9" x14ac:dyDescent="0.3">
      <c r="A133" s="1" t="s">
        <v>41</v>
      </c>
      <c r="B133" s="1" t="s">
        <v>45</v>
      </c>
      <c r="C133" s="1" t="s">
        <v>18</v>
      </c>
      <c r="D133" s="1" t="s">
        <v>21</v>
      </c>
      <c r="E133" s="1">
        <v>919.18</v>
      </c>
      <c r="F133" s="1">
        <v>4</v>
      </c>
      <c r="G133" s="2">
        <v>0.15</v>
      </c>
      <c r="H133" s="3">
        <v>45615</v>
      </c>
      <c r="I133" s="1">
        <v>195.33</v>
      </c>
    </row>
    <row r="134" spans="1:9" x14ac:dyDescent="0.3">
      <c r="A134" s="1" t="s">
        <v>74</v>
      </c>
      <c r="B134" s="1" t="s">
        <v>23</v>
      </c>
      <c r="C134" s="1" t="s">
        <v>11</v>
      </c>
      <c r="D134" s="1" t="s">
        <v>21</v>
      </c>
      <c r="E134" s="1">
        <v>258.51</v>
      </c>
      <c r="F134" s="1">
        <v>19</v>
      </c>
      <c r="G134" s="2">
        <v>0</v>
      </c>
      <c r="H134" s="3">
        <v>45616</v>
      </c>
      <c r="I134" s="1">
        <v>64.63</v>
      </c>
    </row>
    <row r="135" spans="1:9" x14ac:dyDescent="0.3">
      <c r="A135" s="1" t="s">
        <v>63</v>
      </c>
      <c r="B135" s="1" t="s">
        <v>61</v>
      </c>
      <c r="C135" s="1" t="s">
        <v>18</v>
      </c>
      <c r="D135" s="1" t="s">
        <v>12</v>
      </c>
      <c r="E135" s="1">
        <v>1213.48</v>
      </c>
      <c r="F135" s="1">
        <v>5</v>
      </c>
      <c r="G135" s="2">
        <v>0.05</v>
      </c>
      <c r="H135" s="3">
        <v>45616</v>
      </c>
      <c r="I135" s="1">
        <v>461.12</v>
      </c>
    </row>
    <row r="136" spans="1:9" x14ac:dyDescent="0.3">
      <c r="A136" s="1" t="s">
        <v>57</v>
      </c>
      <c r="B136" s="1" t="s">
        <v>38</v>
      </c>
      <c r="C136" s="1" t="s">
        <v>34</v>
      </c>
      <c r="D136" s="1" t="s">
        <v>12</v>
      </c>
      <c r="E136" s="1">
        <v>1150.28</v>
      </c>
      <c r="F136" s="1">
        <v>8</v>
      </c>
      <c r="G136" s="2">
        <v>0.05</v>
      </c>
      <c r="H136" s="3">
        <v>45622</v>
      </c>
      <c r="I136" s="1">
        <v>437.11</v>
      </c>
    </row>
    <row r="137" spans="1:9" x14ac:dyDescent="0.3">
      <c r="A137" s="1" t="s">
        <v>37</v>
      </c>
      <c r="B137" s="1" t="s">
        <v>71</v>
      </c>
      <c r="C137" s="1" t="s">
        <v>20</v>
      </c>
      <c r="D137" s="1" t="s">
        <v>27</v>
      </c>
      <c r="E137" s="1">
        <v>853.86</v>
      </c>
      <c r="F137" s="1">
        <v>8</v>
      </c>
      <c r="G137" s="2">
        <v>0.1</v>
      </c>
      <c r="H137" s="3">
        <v>45622</v>
      </c>
      <c r="I137" s="1">
        <v>268.97000000000003</v>
      </c>
    </row>
    <row r="138" spans="1:9" x14ac:dyDescent="0.3">
      <c r="A138" s="1" t="s">
        <v>75</v>
      </c>
      <c r="B138" s="1" t="s">
        <v>45</v>
      </c>
      <c r="C138" s="1" t="s">
        <v>20</v>
      </c>
      <c r="D138" s="1" t="s">
        <v>21</v>
      </c>
      <c r="E138" s="1">
        <v>1061.04</v>
      </c>
      <c r="F138" s="1">
        <v>1</v>
      </c>
      <c r="G138" s="2">
        <v>0</v>
      </c>
      <c r="H138" s="3">
        <v>45624</v>
      </c>
      <c r="I138" s="1">
        <v>265.26</v>
      </c>
    </row>
    <row r="139" spans="1:9" x14ac:dyDescent="0.3">
      <c r="A139" s="1" t="s">
        <v>28</v>
      </c>
      <c r="B139" s="1" t="s">
        <v>43</v>
      </c>
      <c r="C139" s="1" t="s">
        <v>11</v>
      </c>
      <c r="D139" s="1" t="s">
        <v>21</v>
      </c>
      <c r="E139" s="1">
        <v>894.55</v>
      </c>
      <c r="F139" s="1">
        <v>19</v>
      </c>
      <c r="G139" s="2">
        <v>0.2</v>
      </c>
      <c r="H139" s="3">
        <v>45625</v>
      </c>
      <c r="I139" s="1">
        <v>178.91</v>
      </c>
    </row>
    <row r="140" spans="1:9" x14ac:dyDescent="0.3">
      <c r="A140" s="1" t="s">
        <v>25</v>
      </c>
      <c r="B140" s="1" t="s">
        <v>38</v>
      </c>
      <c r="C140" s="1" t="s">
        <v>24</v>
      </c>
      <c r="D140" s="1" t="s">
        <v>39</v>
      </c>
      <c r="E140" s="1">
        <v>833.91</v>
      </c>
      <c r="F140" s="1">
        <v>3</v>
      </c>
      <c r="G140" s="2">
        <v>0.05</v>
      </c>
      <c r="H140" s="3">
        <v>45626</v>
      </c>
      <c r="I140" s="1">
        <v>356.5</v>
      </c>
    </row>
    <row r="141" spans="1:9" x14ac:dyDescent="0.3">
      <c r="A141" s="1" t="s">
        <v>58</v>
      </c>
      <c r="B141" s="1" t="s">
        <v>71</v>
      </c>
      <c r="C141" s="1" t="s">
        <v>11</v>
      </c>
      <c r="D141" s="1" t="s">
        <v>27</v>
      </c>
      <c r="E141" s="1">
        <v>820.19</v>
      </c>
      <c r="F141" s="1">
        <v>4</v>
      </c>
      <c r="G141" s="2">
        <v>0.2</v>
      </c>
      <c r="H141" s="3">
        <v>45630</v>
      </c>
      <c r="I141" s="1">
        <v>229.65</v>
      </c>
    </row>
    <row r="142" spans="1:9" x14ac:dyDescent="0.3">
      <c r="A142" s="1" t="s">
        <v>58</v>
      </c>
      <c r="B142" s="1" t="s">
        <v>38</v>
      </c>
      <c r="C142" s="1" t="s">
        <v>34</v>
      </c>
      <c r="D142" s="1" t="s">
        <v>21</v>
      </c>
      <c r="E142" s="1">
        <v>511.74</v>
      </c>
      <c r="F142" s="1">
        <v>8</v>
      </c>
      <c r="G142" s="2">
        <v>0.05</v>
      </c>
      <c r="H142" s="3">
        <v>45631</v>
      </c>
      <c r="I142" s="1">
        <v>121.54</v>
      </c>
    </row>
    <row r="143" spans="1:9" x14ac:dyDescent="0.3">
      <c r="A143" s="1" t="s">
        <v>65</v>
      </c>
      <c r="B143" s="1" t="s">
        <v>61</v>
      </c>
      <c r="C143" s="1" t="s">
        <v>20</v>
      </c>
      <c r="D143" s="1" t="s">
        <v>27</v>
      </c>
      <c r="E143" s="1">
        <v>806.03</v>
      </c>
      <c r="F143" s="1">
        <v>19</v>
      </c>
      <c r="G143" s="2">
        <v>0.05</v>
      </c>
      <c r="H143" s="3">
        <v>45638</v>
      </c>
      <c r="I143" s="1">
        <v>268</v>
      </c>
    </row>
    <row r="144" spans="1:9" ht="12.6" customHeight="1" x14ac:dyDescent="0.3">
      <c r="A144" s="1" t="s">
        <v>28</v>
      </c>
      <c r="B144" s="1" t="s">
        <v>26</v>
      </c>
      <c r="C144" s="1" t="s">
        <v>34</v>
      </c>
      <c r="D144" s="1" t="s">
        <v>27</v>
      </c>
      <c r="E144" s="1">
        <v>1432.47</v>
      </c>
      <c r="F144" s="1">
        <v>16</v>
      </c>
      <c r="G144" s="2">
        <v>0.15</v>
      </c>
      <c r="H144" s="3">
        <v>45640</v>
      </c>
      <c r="I144" s="1">
        <v>426.16</v>
      </c>
    </row>
    <row r="145" spans="1:9" x14ac:dyDescent="0.3">
      <c r="A145" s="1" t="s">
        <v>74</v>
      </c>
      <c r="B145" s="1" t="s">
        <v>29</v>
      </c>
      <c r="C145" s="1" t="s">
        <v>34</v>
      </c>
      <c r="D145" s="1" t="s">
        <v>21</v>
      </c>
      <c r="E145" s="1">
        <v>1488.58</v>
      </c>
      <c r="F145" s="1">
        <v>10</v>
      </c>
      <c r="G145" s="2">
        <v>0.15</v>
      </c>
      <c r="H145" s="3">
        <v>45640</v>
      </c>
      <c r="I145" s="1">
        <v>316.32</v>
      </c>
    </row>
    <row r="146" spans="1:9" x14ac:dyDescent="0.3">
      <c r="A146" s="1" t="s">
        <v>30</v>
      </c>
      <c r="B146" s="1" t="s">
        <v>66</v>
      </c>
      <c r="C146" s="1" t="s">
        <v>18</v>
      </c>
      <c r="D146" s="1" t="s">
        <v>12</v>
      </c>
      <c r="E146" s="1">
        <v>1231.26</v>
      </c>
      <c r="F146" s="1">
        <v>9</v>
      </c>
      <c r="G146" s="2">
        <v>0</v>
      </c>
      <c r="H146" s="3">
        <v>45646</v>
      </c>
      <c r="I146" s="1">
        <v>492.5</v>
      </c>
    </row>
    <row r="147" spans="1:9" x14ac:dyDescent="0.3">
      <c r="A147" s="1" t="s">
        <v>30</v>
      </c>
      <c r="B147" s="1" t="s">
        <v>43</v>
      </c>
      <c r="C147" s="1" t="s">
        <v>11</v>
      </c>
      <c r="D147" s="1" t="s">
        <v>21</v>
      </c>
      <c r="E147" s="1">
        <v>1161.67</v>
      </c>
      <c r="F147" s="1">
        <v>19</v>
      </c>
      <c r="G147" s="2">
        <v>0.2</v>
      </c>
      <c r="H147" s="3">
        <v>45647</v>
      </c>
      <c r="I147" s="1">
        <v>232.33</v>
      </c>
    </row>
    <row r="148" spans="1:9" x14ac:dyDescent="0.3">
      <c r="A148" s="1" t="s">
        <v>49</v>
      </c>
      <c r="B148" s="1" t="s">
        <v>45</v>
      </c>
      <c r="C148" s="1" t="s">
        <v>34</v>
      </c>
      <c r="D148" s="1" t="s">
        <v>39</v>
      </c>
      <c r="E148" s="1">
        <v>388.23</v>
      </c>
      <c r="F148" s="1">
        <v>16</v>
      </c>
      <c r="G148" s="2">
        <v>0.05</v>
      </c>
      <c r="H148" s="3">
        <v>45650</v>
      </c>
      <c r="I148" s="1">
        <v>165.97</v>
      </c>
    </row>
    <row r="149" spans="1:9" x14ac:dyDescent="0.3">
      <c r="A149" s="1" t="s">
        <v>72</v>
      </c>
      <c r="B149" s="1" t="s">
        <v>31</v>
      </c>
      <c r="C149" s="1" t="s">
        <v>24</v>
      </c>
      <c r="D149" s="1" t="s">
        <v>15</v>
      </c>
      <c r="E149" s="1">
        <v>1589.42</v>
      </c>
      <c r="F149" s="1">
        <v>6</v>
      </c>
      <c r="G149" s="2">
        <v>0.15</v>
      </c>
      <c r="H149" s="3">
        <v>45651</v>
      </c>
      <c r="I149" s="1">
        <v>675.5</v>
      </c>
    </row>
    <row r="150" spans="1:9" x14ac:dyDescent="0.3">
      <c r="A150" s="1" t="s">
        <v>28</v>
      </c>
      <c r="B150" s="1" t="s">
        <v>71</v>
      </c>
      <c r="C150" s="1" t="s">
        <v>24</v>
      </c>
      <c r="D150" s="1" t="s">
        <v>15</v>
      </c>
      <c r="E150" s="1">
        <v>336.66</v>
      </c>
      <c r="F150" s="1">
        <v>13</v>
      </c>
      <c r="G150" s="2">
        <v>0.2</v>
      </c>
      <c r="H150" s="3">
        <v>45651</v>
      </c>
      <c r="I150" s="1">
        <v>134.66</v>
      </c>
    </row>
    <row r="151" spans="1:9" x14ac:dyDescent="0.3">
      <c r="A151" s="1" t="s">
        <v>49</v>
      </c>
      <c r="B151" s="1" t="s">
        <v>23</v>
      </c>
      <c r="C151" s="1" t="s">
        <v>11</v>
      </c>
      <c r="D151" s="1" t="s">
        <v>12</v>
      </c>
      <c r="E151" s="1">
        <v>1353.79</v>
      </c>
      <c r="F151" s="1">
        <v>14</v>
      </c>
      <c r="G151" s="2">
        <v>0.1</v>
      </c>
      <c r="H151" s="3">
        <v>45656</v>
      </c>
      <c r="I151" s="1">
        <v>487.36</v>
      </c>
    </row>
    <row r="152" spans="1:9" x14ac:dyDescent="0.3">
      <c r="A152" s="1" t="s">
        <v>63</v>
      </c>
      <c r="B152" s="1" t="s">
        <v>69</v>
      </c>
      <c r="C152" s="1" t="s">
        <v>34</v>
      </c>
      <c r="D152" s="1" t="s">
        <v>15</v>
      </c>
      <c r="E152" s="1">
        <v>662.61</v>
      </c>
      <c r="F152" s="1">
        <v>11</v>
      </c>
      <c r="G152" s="2">
        <v>0.05</v>
      </c>
      <c r="H152" s="3">
        <v>45658</v>
      </c>
      <c r="I152" s="1">
        <v>314.74</v>
      </c>
    </row>
    <row r="153" spans="1:9" x14ac:dyDescent="0.3">
      <c r="A153" s="1" t="s">
        <v>52</v>
      </c>
      <c r="B153" s="1" t="s">
        <v>48</v>
      </c>
      <c r="C153" s="1" t="s">
        <v>24</v>
      </c>
      <c r="D153" s="1" t="s">
        <v>39</v>
      </c>
      <c r="E153" s="1">
        <v>309.42</v>
      </c>
      <c r="F153" s="1">
        <v>1</v>
      </c>
      <c r="G153" s="2">
        <v>0.2</v>
      </c>
      <c r="H153" s="3">
        <v>45658</v>
      </c>
      <c r="I153" s="1">
        <v>111.39</v>
      </c>
    </row>
    <row r="154" spans="1:9" x14ac:dyDescent="0.3">
      <c r="A154" s="1" t="s">
        <v>63</v>
      </c>
      <c r="B154" s="1" t="s">
        <v>29</v>
      </c>
      <c r="C154" s="1" t="s">
        <v>24</v>
      </c>
      <c r="D154" s="1" t="s">
        <v>12</v>
      </c>
      <c r="E154" s="1">
        <v>884.63</v>
      </c>
      <c r="F154" s="1">
        <v>18</v>
      </c>
      <c r="G154" s="2">
        <v>0.1</v>
      </c>
      <c r="H154" s="3">
        <v>45659</v>
      </c>
      <c r="I154" s="1">
        <v>318.47000000000003</v>
      </c>
    </row>
    <row r="155" spans="1:9" x14ac:dyDescent="0.3">
      <c r="A155" s="1" t="s">
        <v>52</v>
      </c>
      <c r="B155" s="1" t="s">
        <v>23</v>
      </c>
      <c r="C155" s="1" t="s">
        <v>34</v>
      </c>
      <c r="D155" s="1" t="s">
        <v>39</v>
      </c>
      <c r="E155" s="1">
        <v>745.05</v>
      </c>
      <c r="F155" s="1">
        <v>10</v>
      </c>
      <c r="G155" s="2">
        <v>0.1</v>
      </c>
      <c r="H155" s="3">
        <v>45660</v>
      </c>
      <c r="I155" s="1">
        <v>301.75</v>
      </c>
    </row>
    <row r="156" spans="1:9" x14ac:dyDescent="0.3">
      <c r="A156" s="1" t="s">
        <v>60</v>
      </c>
      <c r="B156" s="1" t="s">
        <v>17</v>
      </c>
      <c r="C156" s="1" t="s">
        <v>20</v>
      </c>
      <c r="D156" s="1" t="s">
        <v>15</v>
      </c>
      <c r="E156" s="1">
        <v>870.23</v>
      </c>
      <c r="F156" s="1">
        <v>5</v>
      </c>
      <c r="G156" s="2">
        <v>0.05</v>
      </c>
      <c r="H156" s="3">
        <v>45660</v>
      </c>
      <c r="I156" s="1">
        <v>413.36</v>
      </c>
    </row>
    <row r="157" spans="1:9" x14ac:dyDescent="0.3">
      <c r="A157" s="1" t="s">
        <v>35</v>
      </c>
      <c r="B157" s="1" t="s">
        <v>29</v>
      </c>
      <c r="C157" s="1" t="s">
        <v>11</v>
      </c>
      <c r="D157" s="1" t="s">
        <v>27</v>
      </c>
      <c r="E157" s="1">
        <v>862.19</v>
      </c>
      <c r="F157" s="1">
        <v>18</v>
      </c>
      <c r="G157" s="2">
        <v>0.05</v>
      </c>
      <c r="H157" s="3">
        <v>45663</v>
      </c>
      <c r="I157" s="1">
        <v>286.68</v>
      </c>
    </row>
    <row r="158" spans="1:9" x14ac:dyDescent="0.3">
      <c r="A158" s="1" t="s">
        <v>73</v>
      </c>
      <c r="B158" s="1" t="s">
        <v>59</v>
      </c>
      <c r="C158" s="1" t="s">
        <v>24</v>
      </c>
      <c r="D158" s="1" t="s">
        <v>15</v>
      </c>
      <c r="E158" s="1">
        <v>1171.18</v>
      </c>
      <c r="F158" s="1">
        <v>19</v>
      </c>
      <c r="G158" s="2">
        <v>0.05</v>
      </c>
      <c r="H158" s="3">
        <v>45667</v>
      </c>
      <c r="I158" s="1">
        <v>556.30999999999995</v>
      </c>
    </row>
    <row r="159" spans="1:9" x14ac:dyDescent="0.3">
      <c r="A159" s="1" t="s">
        <v>58</v>
      </c>
      <c r="B159" s="1" t="s">
        <v>14</v>
      </c>
      <c r="C159" s="1" t="s">
        <v>20</v>
      </c>
      <c r="D159" s="1" t="s">
        <v>27</v>
      </c>
      <c r="E159" s="1">
        <v>1054.56</v>
      </c>
      <c r="F159" s="1">
        <v>11</v>
      </c>
      <c r="G159" s="2">
        <v>0.1</v>
      </c>
      <c r="H159" s="3">
        <v>45669</v>
      </c>
      <c r="I159" s="1">
        <v>332.19</v>
      </c>
    </row>
    <row r="160" spans="1:9" x14ac:dyDescent="0.3">
      <c r="A160" s="1" t="s">
        <v>58</v>
      </c>
      <c r="B160" s="1" t="s">
        <v>23</v>
      </c>
      <c r="C160" s="1" t="s">
        <v>24</v>
      </c>
      <c r="D160" s="1" t="s">
        <v>21</v>
      </c>
      <c r="E160" s="1">
        <v>1681.21</v>
      </c>
      <c r="F160" s="1">
        <v>5</v>
      </c>
      <c r="G160" s="2">
        <v>0.2</v>
      </c>
      <c r="H160" s="3">
        <v>45670</v>
      </c>
      <c r="I160" s="1">
        <v>336.24</v>
      </c>
    </row>
    <row r="161" spans="1:9" x14ac:dyDescent="0.3">
      <c r="A161" s="1" t="s">
        <v>58</v>
      </c>
      <c r="B161" s="1" t="s">
        <v>36</v>
      </c>
      <c r="C161" s="1" t="s">
        <v>11</v>
      </c>
      <c r="D161" s="1" t="s">
        <v>15</v>
      </c>
      <c r="E161" s="1">
        <v>379.77</v>
      </c>
      <c r="F161" s="1">
        <v>9</v>
      </c>
      <c r="G161" s="2">
        <v>0.05</v>
      </c>
      <c r="H161" s="3">
        <v>45673</v>
      </c>
      <c r="I161" s="1">
        <v>180.39</v>
      </c>
    </row>
    <row r="162" spans="1:9" x14ac:dyDescent="0.3">
      <c r="A162" s="1" t="s">
        <v>44</v>
      </c>
      <c r="B162" s="1" t="s">
        <v>45</v>
      </c>
      <c r="C162" s="1" t="s">
        <v>34</v>
      </c>
      <c r="D162" s="1" t="s">
        <v>15</v>
      </c>
      <c r="E162" s="1">
        <v>1076.33</v>
      </c>
      <c r="F162" s="1">
        <v>2</v>
      </c>
      <c r="G162" s="2">
        <v>0.1</v>
      </c>
      <c r="H162" s="3">
        <v>45674</v>
      </c>
      <c r="I162" s="1">
        <v>484.35</v>
      </c>
    </row>
    <row r="163" spans="1:9" x14ac:dyDescent="0.3">
      <c r="A163" s="1" t="s">
        <v>44</v>
      </c>
      <c r="B163" s="1" t="s">
        <v>31</v>
      </c>
      <c r="C163" s="1" t="s">
        <v>34</v>
      </c>
      <c r="D163" s="1" t="s">
        <v>39</v>
      </c>
      <c r="E163" s="1">
        <v>1250.71</v>
      </c>
      <c r="F163" s="1">
        <v>7</v>
      </c>
      <c r="G163" s="2">
        <v>0</v>
      </c>
      <c r="H163" s="3">
        <v>45674</v>
      </c>
      <c r="I163" s="1">
        <v>562.82000000000005</v>
      </c>
    </row>
    <row r="164" spans="1:9" x14ac:dyDescent="0.3">
      <c r="A164" s="1" t="s">
        <v>40</v>
      </c>
      <c r="B164" s="1" t="s">
        <v>17</v>
      </c>
      <c r="C164" s="1" t="s">
        <v>20</v>
      </c>
      <c r="D164" s="1" t="s">
        <v>15</v>
      </c>
      <c r="E164" s="1">
        <v>1118.3399999999999</v>
      </c>
      <c r="F164" s="1">
        <v>6</v>
      </c>
      <c r="G164" s="2">
        <v>0.2</v>
      </c>
      <c r="H164" s="3">
        <v>45674</v>
      </c>
      <c r="I164" s="1">
        <v>447.34</v>
      </c>
    </row>
    <row r="165" spans="1:9" x14ac:dyDescent="0.3">
      <c r="A165" s="1" t="s">
        <v>70</v>
      </c>
      <c r="B165" s="1" t="s">
        <v>53</v>
      </c>
      <c r="C165" s="1" t="s">
        <v>24</v>
      </c>
      <c r="D165" s="1" t="s">
        <v>15</v>
      </c>
      <c r="E165" s="1">
        <v>1622.62</v>
      </c>
      <c r="F165" s="1">
        <v>12</v>
      </c>
      <c r="G165" s="2">
        <v>0.2</v>
      </c>
      <c r="H165" s="3">
        <v>45677</v>
      </c>
      <c r="I165" s="1">
        <v>649.04999999999995</v>
      </c>
    </row>
    <row r="166" spans="1:9" x14ac:dyDescent="0.3">
      <c r="A166" s="1" t="s">
        <v>75</v>
      </c>
      <c r="B166" s="1" t="s">
        <v>48</v>
      </c>
      <c r="C166" s="1" t="s">
        <v>24</v>
      </c>
      <c r="D166" s="1" t="s">
        <v>12</v>
      </c>
      <c r="E166" s="1">
        <v>640.64</v>
      </c>
      <c r="F166" s="1">
        <v>11</v>
      </c>
      <c r="G166" s="2">
        <v>0.2</v>
      </c>
      <c r="H166" s="3">
        <v>45678</v>
      </c>
      <c r="I166" s="1">
        <v>205</v>
      </c>
    </row>
    <row r="167" spans="1:9" x14ac:dyDescent="0.3">
      <c r="A167" s="1" t="s">
        <v>22</v>
      </c>
      <c r="B167" s="1" t="s">
        <v>43</v>
      </c>
      <c r="C167" s="1" t="s">
        <v>11</v>
      </c>
      <c r="D167" s="1" t="s">
        <v>15</v>
      </c>
      <c r="E167" s="1">
        <v>585.16</v>
      </c>
      <c r="F167" s="1">
        <v>17</v>
      </c>
      <c r="G167" s="2">
        <v>0.1</v>
      </c>
      <c r="H167" s="3">
        <v>45684</v>
      </c>
      <c r="I167" s="1">
        <v>263.32</v>
      </c>
    </row>
    <row r="168" spans="1:9" x14ac:dyDescent="0.3">
      <c r="A168" s="1" t="s">
        <v>22</v>
      </c>
      <c r="B168" s="1" t="s">
        <v>31</v>
      </c>
      <c r="C168" s="1" t="s">
        <v>18</v>
      </c>
      <c r="D168" s="1" t="s">
        <v>15</v>
      </c>
      <c r="E168" s="1">
        <v>1109.98</v>
      </c>
      <c r="F168" s="1">
        <v>5</v>
      </c>
      <c r="G168" s="2">
        <v>0.2</v>
      </c>
      <c r="H168" s="3">
        <v>45690</v>
      </c>
      <c r="I168" s="1">
        <v>443.99</v>
      </c>
    </row>
    <row r="169" spans="1:9" x14ac:dyDescent="0.3">
      <c r="A169" s="1" t="s">
        <v>58</v>
      </c>
      <c r="B169" s="1" t="s">
        <v>45</v>
      </c>
      <c r="C169" s="1" t="s">
        <v>18</v>
      </c>
      <c r="D169" s="1" t="s">
        <v>12</v>
      </c>
      <c r="E169" s="1">
        <v>1098.08</v>
      </c>
      <c r="F169" s="1">
        <v>9</v>
      </c>
      <c r="G169" s="2">
        <v>0.1</v>
      </c>
      <c r="H169" s="3">
        <v>45692</v>
      </c>
      <c r="I169" s="1">
        <v>395.31</v>
      </c>
    </row>
    <row r="170" spans="1:9" x14ac:dyDescent="0.3">
      <c r="A170" s="1" t="s">
        <v>65</v>
      </c>
      <c r="B170" s="1" t="s">
        <v>48</v>
      </c>
      <c r="C170" s="1" t="s">
        <v>11</v>
      </c>
      <c r="D170" s="1" t="s">
        <v>39</v>
      </c>
      <c r="E170" s="1">
        <v>827.25</v>
      </c>
      <c r="F170" s="1">
        <v>7</v>
      </c>
      <c r="G170" s="2">
        <v>0.1</v>
      </c>
      <c r="H170" s="3">
        <v>45693</v>
      </c>
      <c r="I170" s="1">
        <v>335.04</v>
      </c>
    </row>
    <row r="171" spans="1:9" x14ac:dyDescent="0.3">
      <c r="A171" s="1" t="s">
        <v>70</v>
      </c>
      <c r="B171" s="1" t="s">
        <v>29</v>
      </c>
      <c r="C171" s="1" t="s">
        <v>34</v>
      </c>
      <c r="D171" s="1" t="s">
        <v>15</v>
      </c>
      <c r="E171" s="1">
        <v>741.88</v>
      </c>
      <c r="F171" s="1">
        <v>16</v>
      </c>
      <c r="G171" s="2">
        <v>0.1</v>
      </c>
      <c r="H171" s="3">
        <v>45695</v>
      </c>
      <c r="I171" s="1">
        <v>333.85</v>
      </c>
    </row>
    <row r="172" spans="1:9" x14ac:dyDescent="0.3">
      <c r="A172" s="1" t="s">
        <v>72</v>
      </c>
      <c r="B172" s="1" t="s">
        <v>10</v>
      </c>
      <c r="C172" s="1" t="s">
        <v>18</v>
      </c>
      <c r="D172" s="1" t="s">
        <v>39</v>
      </c>
      <c r="E172" s="1">
        <v>1311.26</v>
      </c>
      <c r="F172" s="1">
        <v>6</v>
      </c>
      <c r="G172" s="2">
        <v>0.1</v>
      </c>
      <c r="H172" s="3">
        <v>45698</v>
      </c>
      <c r="I172" s="1">
        <v>531.05999999999995</v>
      </c>
    </row>
    <row r="173" spans="1:9" x14ac:dyDescent="0.3">
      <c r="A173" s="1" t="s">
        <v>72</v>
      </c>
      <c r="B173" s="1" t="s">
        <v>31</v>
      </c>
      <c r="C173" s="1" t="s">
        <v>20</v>
      </c>
      <c r="D173" s="1" t="s">
        <v>39</v>
      </c>
      <c r="E173" s="1">
        <v>573.32000000000005</v>
      </c>
      <c r="F173" s="1">
        <v>19</v>
      </c>
      <c r="G173" s="2">
        <v>0.1</v>
      </c>
      <c r="H173" s="3">
        <v>45703</v>
      </c>
      <c r="I173" s="1">
        <v>232.19</v>
      </c>
    </row>
    <row r="174" spans="1:9" x14ac:dyDescent="0.3">
      <c r="A174" s="1" t="s">
        <v>52</v>
      </c>
      <c r="B174" s="1" t="s">
        <v>23</v>
      </c>
      <c r="C174" s="1" t="s">
        <v>11</v>
      </c>
      <c r="D174" s="1" t="s">
        <v>21</v>
      </c>
      <c r="E174" s="1">
        <v>1115.22</v>
      </c>
      <c r="F174" s="1">
        <v>14</v>
      </c>
      <c r="G174" s="2">
        <v>0.2</v>
      </c>
      <c r="H174" s="3">
        <v>45705</v>
      </c>
      <c r="I174" s="1">
        <v>223.04</v>
      </c>
    </row>
    <row r="175" spans="1:9" x14ac:dyDescent="0.3">
      <c r="A175" s="1" t="s">
        <v>13</v>
      </c>
      <c r="B175" s="1" t="s">
        <v>45</v>
      </c>
      <c r="C175" s="1" t="s">
        <v>24</v>
      </c>
      <c r="D175" s="1" t="s">
        <v>15</v>
      </c>
      <c r="E175" s="1">
        <v>845.84</v>
      </c>
      <c r="F175" s="1">
        <v>4</v>
      </c>
      <c r="G175" s="2">
        <v>0</v>
      </c>
      <c r="H175" s="3">
        <v>45707</v>
      </c>
      <c r="I175" s="1">
        <v>422.92</v>
      </c>
    </row>
    <row r="176" spans="1:9" x14ac:dyDescent="0.3">
      <c r="A176" s="1" t="s">
        <v>30</v>
      </c>
      <c r="B176" s="1" t="s">
        <v>55</v>
      </c>
      <c r="C176" s="1" t="s">
        <v>11</v>
      </c>
      <c r="D176" s="1" t="s">
        <v>21</v>
      </c>
      <c r="E176" s="1">
        <v>1029.8</v>
      </c>
      <c r="F176" s="1">
        <v>3</v>
      </c>
      <c r="G176" s="2">
        <v>0</v>
      </c>
      <c r="H176" s="3">
        <v>45708</v>
      </c>
      <c r="I176" s="1">
        <v>257.45</v>
      </c>
    </row>
    <row r="177" spans="1:9" x14ac:dyDescent="0.3">
      <c r="A177" s="1" t="s">
        <v>32</v>
      </c>
      <c r="B177" s="1" t="s">
        <v>31</v>
      </c>
      <c r="C177" s="1" t="s">
        <v>24</v>
      </c>
      <c r="D177" s="1" t="s">
        <v>12</v>
      </c>
      <c r="E177" s="1">
        <v>1189.83</v>
      </c>
      <c r="F177" s="1">
        <v>2</v>
      </c>
      <c r="G177" s="2">
        <v>0.2</v>
      </c>
      <c r="H177" s="3">
        <v>45709</v>
      </c>
      <c r="I177" s="1">
        <v>380.75</v>
      </c>
    </row>
    <row r="178" spans="1:9" x14ac:dyDescent="0.3">
      <c r="A178" s="1" t="s">
        <v>67</v>
      </c>
      <c r="B178" s="1" t="s">
        <v>43</v>
      </c>
      <c r="C178" s="1" t="s">
        <v>20</v>
      </c>
      <c r="D178" s="1" t="s">
        <v>12</v>
      </c>
      <c r="E178" s="1">
        <v>704.28</v>
      </c>
      <c r="F178" s="1">
        <v>15</v>
      </c>
      <c r="G178" s="2">
        <v>0.2</v>
      </c>
      <c r="H178" s="3">
        <v>45712</v>
      </c>
      <c r="I178" s="1">
        <v>225.37</v>
      </c>
    </row>
    <row r="179" spans="1:9" x14ac:dyDescent="0.3">
      <c r="A179" s="1" t="s">
        <v>65</v>
      </c>
      <c r="B179" s="1" t="s">
        <v>47</v>
      </c>
      <c r="C179" s="1" t="s">
        <v>34</v>
      </c>
      <c r="D179" s="1" t="s">
        <v>39</v>
      </c>
      <c r="E179" s="1">
        <v>1618.22</v>
      </c>
      <c r="F179" s="1">
        <v>12</v>
      </c>
      <c r="G179" s="2">
        <v>0.2</v>
      </c>
      <c r="H179" s="3">
        <v>45712</v>
      </c>
      <c r="I179" s="1">
        <v>582.55999999999995</v>
      </c>
    </row>
    <row r="180" spans="1:9" x14ac:dyDescent="0.3">
      <c r="A180" s="1" t="s">
        <v>73</v>
      </c>
      <c r="B180" s="1" t="s">
        <v>53</v>
      </c>
      <c r="C180" s="1" t="s">
        <v>34</v>
      </c>
      <c r="D180" s="1" t="s">
        <v>12</v>
      </c>
      <c r="E180" s="1">
        <v>1014.43</v>
      </c>
      <c r="F180" s="1">
        <v>2</v>
      </c>
      <c r="G180" s="2">
        <v>0.15</v>
      </c>
      <c r="H180" s="3">
        <v>45713</v>
      </c>
      <c r="I180" s="1">
        <v>344.91</v>
      </c>
    </row>
    <row r="181" spans="1:9" x14ac:dyDescent="0.3">
      <c r="A181" s="1" t="s">
        <v>75</v>
      </c>
      <c r="B181" s="1" t="s">
        <v>31</v>
      </c>
      <c r="C181" s="1" t="s">
        <v>34</v>
      </c>
      <c r="D181" s="1" t="s">
        <v>15</v>
      </c>
      <c r="E181" s="1">
        <v>826.97</v>
      </c>
      <c r="F181" s="1">
        <v>18</v>
      </c>
      <c r="G181" s="2">
        <v>0.2</v>
      </c>
      <c r="H181" s="3">
        <v>45715</v>
      </c>
      <c r="I181" s="1">
        <v>330.79</v>
      </c>
    </row>
    <row r="182" spans="1:9" x14ac:dyDescent="0.3">
      <c r="A182" s="1" t="s">
        <v>16</v>
      </c>
      <c r="B182" s="1" t="s">
        <v>31</v>
      </c>
      <c r="C182" s="1" t="s">
        <v>34</v>
      </c>
      <c r="D182" s="1" t="s">
        <v>15</v>
      </c>
      <c r="E182" s="1">
        <v>1022.23</v>
      </c>
      <c r="F182" s="1">
        <v>8</v>
      </c>
      <c r="G182" s="2">
        <v>0.1</v>
      </c>
      <c r="H182" s="3">
        <v>45717</v>
      </c>
      <c r="I182" s="1">
        <v>460</v>
      </c>
    </row>
    <row r="183" spans="1:9" x14ac:dyDescent="0.3">
      <c r="A183" s="1" t="s">
        <v>72</v>
      </c>
      <c r="B183" s="1" t="s">
        <v>29</v>
      </c>
      <c r="C183" s="1" t="s">
        <v>18</v>
      </c>
      <c r="D183" s="1" t="s">
        <v>12</v>
      </c>
      <c r="E183" s="1">
        <v>1099.69</v>
      </c>
      <c r="F183" s="1">
        <v>6</v>
      </c>
      <c r="G183" s="2">
        <v>0</v>
      </c>
      <c r="H183" s="3">
        <v>45718</v>
      </c>
      <c r="I183" s="1">
        <v>439.88</v>
      </c>
    </row>
    <row r="184" spans="1:9" x14ac:dyDescent="0.3">
      <c r="A184" s="1" t="s">
        <v>52</v>
      </c>
      <c r="B184" s="1" t="s">
        <v>64</v>
      </c>
      <c r="C184" s="1" t="s">
        <v>24</v>
      </c>
      <c r="D184" s="1" t="s">
        <v>12</v>
      </c>
      <c r="E184" s="1">
        <v>710.52</v>
      </c>
      <c r="F184" s="1">
        <v>8</v>
      </c>
      <c r="G184" s="2">
        <v>0.1</v>
      </c>
      <c r="H184" s="3">
        <v>45721</v>
      </c>
      <c r="I184" s="1">
        <v>255.79</v>
      </c>
    </row>
    <row r="185" spans="1:9" x14ac:dyDescent="0.3">
      <c r="A185" s="1" t="s">
        <v>52</v>
      </c>
      <c r="B185" s="1" t="s">
        <v>59</v>
      </c>
      <c r="C185" s="1" t="s">
        <v>24</v>
      </c>
      <c r="D185" s="1" t="s">
        <v>12</v>
      </c>
      <c r="E185" s="1">
        <v>499.18</v>
      </c>
      <c r="F185" s="1">
        <v>15</v>
      </c>
      <c r="G185" s="2">
        <v>0.2</v>
      </c>
      <c r="H185" s="3">
        <v>45724</v>
      </c>
      <c r="I185" s="1">
        <v>159.74</v>
      </c>
    </row>
    <row r="186" spans="1:9" x14ac:dyDescent="0.3">
      <c r="A186" s="1" t="s">
        <v>37</v>
      </c>
      <c r="B186" s="1" t="s">
        <v>38</v>
      </c>
      <c r="C186" s="1" t="s">
        <v>20</v>
      </c>
      <c r="D186" s="1" t="s">
        <v>12</v>
      </c>
      <c r="E186" s="1">
        <v>1064.19</v>
      </c>
      <c r="F186" s="1">
        <v>18</v>
      </c>
      <c r="G186" s="2">
        <v>0.05</v>
      </c>
      <c r="H186" s="3">
        <v>45725</v>
      </c>
      <c r="I186" s="1">
        <v>404.39</v>
      </c>
    </row>
    <row r="187" spans="1:9" x14ac:dyDescent="0.3">
      <c r="A187" s="1" t="s">
        <v>67</v>
      </c>
      <c r="B187" s="1" t="s">
        <v>38</v>
      </c>
      <c r="C187" s="1" t="s">
        <v>18</v>
      </c>
      <c r="D187" s="1" t="s">
        <v>39</v>
      </c>
      <c r="E187" s="1">
        <v>438.76</v>
      </c>
      <c r="F187" s="1">
        <v>18</v>
      </c>
      <c r="G187" s="2">
        <v>0.05</v>
      </c>
      <c r="H187" s="3">
        <v>45726</v>
      </c>
      <c r="I187" s="1">
        <v>187.57</v>
      </c>
    </row>
    <row r="188" spans="1:9" x14ac:dyDescent="0.3">
      <c r="A188" s="1" t="s">
        <v>41</v>
      </c>
      <c r="B188" s="1" t="s">
        <v>55</v>
      </c>
      <c r="C188" s="1" t="s">
        <v>11</v>
      </c>
      <c r="D188" s="1" t="s">
        <v>15</v>
      </c>
      <c r="E188" s="1">
        <v>864.98</v>
      </c>
      <c r="F188" s="1">
        <v>2</v>
      </c>
      <c r="G188" s="2">
        <v>0.05</v>
      </c>
      <c r="H188" s="3">
        <v>45727</v>
      </c>
      <c r="I188" s="1">
        <v>410.87</v>
      </c>
    </row>
    <row r="189" spans="1:9" x14ac:dyDescent="0.3">
      <c r="A189" s="1" t="s">
        <v>57</v>
      </c>
      <c r="B189" s="1" t="s">
        <v>55</v>
      </c>
      <c r="C189" s="1" t="s">
        <v>11</v>
      </c>
      <c r="D189" s="1" t="s">
        <v>27</v>
      </c>
      <c r="E189" s="1">
        <v>984.93</v>
      </c>
      <c r="F189" s="1">
        <v>14</v>
      </c>
      <c r="G189" s="2">
        <v>0.2</v>
      </c>
      <c r="H189" s="3">
        <v>45733</v>
      </c>
      <c r="I189" s="1">
        <v>275.77999999999997</v>
      </c>
    </row>
    <row r="190" spans="1:9" x14ac:dyDescent="0.3">
      <c r="A190" s="1" t="s">
        <v>25</v>
      </c>
      <c r="B190" s="1" t="s">
        <v>55</v>
      </c>
      <c r="C190" s="1" t="s">
        <v>11</v>
      </c>
      <c r="D190" s="1" t="s">
        <v>15</v>
      </c>
      <c r="E190" s="1">
        <v>1493.49</v>
      </c>
      <c r="F190" s="1">
        <v>18</v>
      </c>
      <c r="G190" s="2">
        <v>0</v>
      </c>
      <c r="H190" s="3">
        <v>45734</v>
      </c>
      <c r="I190" s="1">
        <v>746.74</v>
      </c>
    </row>
    <row r="191" spans="1:9" x14ac:dyDescent="0.3">
      <c r="A191" s="1" t="s">
        <v>32</v>
      </c>
      <c r="B191" s="1" t="s">
        <v>53</v>
      </c>
      <c r="C191" s="1" t="s">
        <v>20</v>
      </c>
      <c r="D191" s="1" t="s">
        <v>15</v>
      </c>
      <c r="E191" s="1">
        <v>689.43</v>
      </c>
      <c r="F191" s="1">
        <v>9</v>
      </c>
      <c r="G191" s="2">
        <v>0.1</v>
      </c>
      <c r="H191" s="3">
        <v>45736</v>
      </c>
      <c r="I191" s="1">
        <v>310.24</v>
      </c>
    </row>
    <row r="192" spans="1:9" x14ac:dyDescent="0.3">
      <c r="A192" s="1" t="s">
        <v>40</v>
      </c>
      <c r="B192" s="1" t="s">
        <v>59</v>
      </c>
      <c r="C192" s="1" t="s">
        <v>20</v>
      </c>
      <c r="D192" s="1" t="s">
        <v>15</v>
      </c>
      <c r="E192" s="1">
        <v>682.24</v>
      </c>
      <c r="F192" s="1">
        <v>1</v>
      </c>
      <c r="G192" s="2">
        <v>0</v>
      </c>
      <c r="H192" s="3">
        <v>45738</v>
      </c>
      <c r="I192" s="1">
        <v>341.12</v>
      </c>
    </row>
    <row r="193" spans="1:9" ht="15" customHeight="1" x14ac:dyDescent="0.3">
      <c r="A193" s="1" t="s">
        <v>41</v>
      </c>
      <c r="B193" s="1" t="s">
        <v>26</v>
      </c>
      <c r="C193" s="1" t="s">
        <v>24</v>
      </c>
      <c r="D193" s="1" t="s">
        <v>21</v>
      </c>
      <c r="E193" s="1">
        <v>458.54</v>
      </c>
      <c r="F193" s="1">
        <v>15</v>
      </c>
      <c r="G193" s="2">
        <v>0.2</v>
      </c>
      <c r="H193" s="3">
        <v>45741</v>
      </c>
      <c r="I193" s="1">
        <v>91.71</v>
      </c>
    </row>
    <row r="194" spans="1:9" ht="17.399999999999999" customHeight="1" x14ac:dyDescent="0.3">
      <c r="A194" s="1" t="s">
        <v>32</v>
      </c>
      <c r="B194" s="1" t="s">
        <v>26</v>
      </c>
      <c r="C194" s="1" t="s">
        <v>20</v>
      </c>
      <c r="D194" s="1" t="s">
        <v>27</v>
      </c>
      <c r="E194" s="1">
        <v>1184.25</v>
      </c>
      <c r="F194" s="1">
        <v>11</v>
      </c>
      <c r="G194" s="2">
        <v>0.2</v>
      </c>
      <c r="H194" s="3">
        <v>45742</v>
      </c>
      <c r="I194" s="1">
        <v>331.59</v>
      </c>
    </row>
    <row r="195" spans="1:9" x14ac:dyDescent="0.3">
      <c r="A195" s="1" t="s">
        <v>25</v>
      </c>
      <c r="B195" s="1" t="s">
        <v>10</v>
      </c>
      <c r="C195" s="1" t="s">
        <v>20</v>
      </c>
      <c r="D195" s="1" t="s">
        <v>15</v>
      </c>
      <c r="E195" s="1">
        <v>762.14</v>
      </c>
      <c r="F195" s="1">
        <v>9</v>
      </c>
      <c r="G195" s="2">
        <v>0</v>
      </c>
      <c r="H195" s="3">
        <v>45743</v>
      </c>
      <c r="I195" s="1">
        <v>381.07</v>
      </c>
    </row>
    <row r="196" spans="1:9" x14ac:dyDescent="0.3">
      <c r="A196" s="1" t="s">
        <v>22</v>
      </c>
      <c r="B196" s="1" t="s">
        <v>53</v>
      </c>
      <c r="C196" s="1" t="s">
        <v>24</v>
      </c>
      <c r="D196" s="1" t="s">
        <v>12</v>
      </c>
      <c r="E196" s="1">
        <v>750.71</v>
      </c>
      <c r="F196" s="1">
        <v>10</v>
      </c>
      <c r="G196" s="2">
        <v>0.15</v>
      </c>
      <c r="H196" s="3">
        <v>45743</v>
      </c>
      <c r="I196" s="1">
        <v>255.24</v>
      </c>
    </row>
    <row r="197" spans="1:9" x14ac:dyDescent="0.3">
      <c r="A197" s="1" t="s">
        <v>75</v>
      </c>
      <c r="B197" s="1" t="s">
        <v>71</v>
      </c>
      <c r="C197" s="1" t="s">
        <v>34</v>
      </c>
      <c r="D197" s="1" t="s">
        <v>15</v>
      </c>
      <c r="E197" s="1">
        <v>1456.94</v>
      </c>
      <c r="F197" s="1">
        <v>14</v>
      </c>
      <c r="G197" s="2">
        <v>0.05</v>
      </c>
      <c r="H197" s="3">
        <v>45745</v>
      </c>
      <c r="I197" s="1">
        <v>692.05</v>
      </c>
    </row>
    <row r="198" spans="1:9" x14ac:dyDescent="0.3">
      <c r="A198" s="1" t="s">
        <v>44</v>
      </c>
      <c r="B198" s="1" t="s">
        <v>61</v>
      </c>
      <c r="C198" s="1" t="s">
        <v>18</v>
      </c>
      <c r="D198" s="1" t="s">
        <v>27</v>
      </c>
      <c r="E198" s="1">
        <v>1093.3800000000001</v>
      </c>
      <c r="F198" s="1">
        <v>17</v>
      </c>
      <c r="G198" s="2">
        <v>0.1</v>
      </c>
      <c r="H198" s="3">
        <v>45745</v>
      </c>
      <c r="I198" s="1">
        <v>344.41</v>
      </c>
    </row>
    <row r="199" spans="1:9" x14ac:dyDescent="0.3">
      <c r="A199" s="1" t="s">
        <v>37</v>
      </c>
      <c r="B199" s="1" t="s">
        <v>43</v>
      </c>
      <c r="C199" s="1" t="s">
        <v>11</v>
      </c>
      <c r="D199" s="1" t="s">
        <v>15</v>
      </c>
      <c r="E199" s="1">
        <v>934.27</v>
      </c>
      <c r="F199" s="1">
        <v>8</v>
      </c>
      <c r="G199" s="2">
        <v>0.15</v>
      </c>
      <c r="H199" s="3">
        <v>45746</v>
      </c>
      <c r="I199" s="1">
        <v>397.06</v>
      </c>
    </row>
    <row r="200" spans="1:9" x14ac:dyDescent="0.3">
      <c r="A200" s="1" t="s">
        <v>70</v>
      </c>
      <c r="B200" s="1" t="s">
        <v>36</v>
      </c>
      <c r="C200" s="1" t="s">
        <v>34</v>
      </c>
      <c r="D200" s="1" t="s">
        <v>15</v>
      </c>
      <c r="E200" s="1">
        <v>1465.35</v>
      </c>
      <c r="F200" s="1">
        <v>8</v>
      </c>
      <c r="G200" s="2">
        <v>0.2</v>
      </c>
      <c r="H200" s="3">
        <v>45746</v>
      </c>
      <c r="I200" s="1">
        <v>586.14</v>
      </c>
    </row>
    <row r="201" spans="1:9" x14ac:dyDescent="0.3">
      <c r="A201" s="1" t="s">
        <v>52</v>
      </c>
      <c r="B201" s="1" t="s">
        <v>14</v>
      </c>
      <c r="C201" s="1" t="s">
        <v>20</v>
      </c>
      <c r="D201" s="1" t="s">
        <v>39</v>
      </c>
      <c r="E201" s="1">
        <v>740.8</v>
      </c>
      <c r="F201" s="1">
        <v>3</v>
      </c>
      <c r="G201" s="2">
        <v>0</v>
      </c>
      <c r="H201" s="3">
        <v>45749</v>
      </c>
      <c r="I201" s="1">
        <v>333.36</v>
      </c>
    </row>
    <row r="202" spans="1:9" x14ac:dyDescent="0.3">
      <c r="A202" s="1" t="s">
        <v>58</v>
      </c>
      <c r="B202" s="1" t="s">
        <v>43</v>
      </c>
      <c r="C202" s="1" t="s">
        <v>11</v>
      </c>
      <c r="D202" s="1" t="s">
        <v>39</v>
      </c>
      <c r="E202" s="1">
        <v>545.44000000000005</v>
      </c>
      <c r="F202" s="1">
        <v>17</v>
      </c>
      <c r="G202" s="2">
        <v>0</v>
      </c>
      <c r="H202" s="3">
        <v>45752</v>
      </c>
      <c r="I202" s="1">
        <v>245.45</v>
      </c>
    </row>
    <row r="203" spans="1:9" x14ac:dyDescent="0.3">
      <c r="A203" s="1" t="s">
        <v>35</v>
      </c>
      <c r="B203" s="1" t="s">
        <v>36</v>
      </c>
      <c r="C203" s="1" t="s">
        <v>18</v>
      </c>
      <c r="D203" s="1" t="s">
        <v>12</v>
      </c>
      <c r="E203" s="1">
        <v>997.61</v>
      </c>
      <c r="F203" s="1">
        <v>8</v>
      </c>
      <c r="G203" s="2">
        <v>0.05</v>
      </c>
      <c r="H203" s="3">
        <v>45752</v>
      </c>
      <c r="I203" s="1">
        <v>379.09</v>
      </c>
    </row>
    <row r="204" spans="1:9" x14ac:dyDescent="0.3">
      <c r="A204" s="1" t="s">
        <v>60</v>
      </c>
      <c r="B204" s="1" t="s">
        <v>36</v>
      </c>
      <c r="C204" s="1" t="s">
        <v>20</v>
      </c>
      <c r="D204" s="1" t="s">
        <v>15</v>
      </c>
      <c r="E204" s="1">
        <v>928.32</v>
      </c>
      <c r="F204" s="1">
        <v>2</v>
      </c>
      <c r="G204" s="2">
        <v>0.05</v>
      </c>
      <c r="H204" s="3">
        <v>45754</v>
      </c>
      <c r="I204" s="1">
        <v>440.95</v>
      </c>
    </row>
  </sheetData>
  <mergeCells count="2">
    <mergeCell ref="A1:I1"/>
    <mergeCell ref="C2:E2"/>
  </mergeCells>
  <conditionalFormatting sqref="B4:B204">
    <cfRule type="top10" dxfId="39" priority="1" rank="10"/>
    <cfRule type="top10" dxfId="38" priority="3" rank="10"/>
    <cfRule type="top10" dxfId="37" priority="5" rank="10"/>
  </conditionalFormatting>
  <conditionalFormatting sqref="B5:B204">
    <cfRule type="top10" dxfId="36" priority="4" rank="10"/>
  </conditionalFormatting>
  <conditionalFormatting sqref="C6:C11">
    <cfRule type="top10" dxfId="35" priority="2" percent="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C379-11FE-4E52-B5C0-EE3C1CA74FEA}">
  <dimension ref="A1:N201"/>
  <sheetViews>
    <sheetView zoomScale="97" zoomScaleNormal="97" workbookViewId="0">
      <selection activeCell="J2" sqref="J2"/>
    </sheetView>
  </sheetViews>
  <sheetFormatPr defaultRowHeight="14.4" x14ac:dyDescent="0.3"/>
  <cols>
    <col min="8" max="8" width="13" customWidth="1"/>
    <col min="10" max="10" width="8.88671875" style="7"/>
    <col min="13" max="13" width="10.6640625" customWidth="1"/>
    <col min="14" max="14" width="28.33203125" customWidth="1"/>
  </cols>
  <sheetData>
    <row r="1" spans="1:14" ht="28.8" x14ac:dyDescent="0.3">
      <c r="A1" s="13" t="s">
        <v>0</v>
      </c>
      <c r="B1" s="13" t="s">
        <v>1</v>
      </c>
      <c r="C1" s="13" t="s">
        <v>2</v>
      </c>
      <c r="D1" s="13" t="s">
        <v>3</v>
      </c>
      <c r="E1" s="13" t="s">
        <v>4</v>
      </c>
      <c r="F1" s="13" t="s">
        <v>5</v>
      </c>
      <c r="G1" s="14" t="s">
        <v>6</v>
      </c>
      <c r="H1" s="15" t="s">
        <v>7</v>
      </c>
      <c r="I1" s="13" t="s">
        <v>8</v>
      </c>
      <c r="J1" s="19" t="s">
        <v>76</v>
      </c>
    </row>
    <row r="2" spans="1:14" ht="28.8" x14ac:dyDescent="0.3">
      <c r="A2" s="1" t="s">
        <v>9</v>
      </c>
      <c r="B2" s="1" t="s">
        <v>10</v>
      </c>
      <c r="C2" s="1" t="s">
        <v>11</v>
      </c>
      <c r="D2" s="1" t="s">
        <v>12</v>
      </c>
      <c r="E2" s="1">
        <v>1036.0899999999999</v>
      </c>
      <c r="F2" s="1">
        <v>4</v>
      </c>
      <c r="G2" s="2">
        <v>0.2</v>
      </c>
      <c r="H2" s="3">
        <v>45392</v>
      </c>
      <c r="I2" s="1">
        <v>331.55</v>
      </c>
      <c r="J2" s="8">
        <f>SUMIFS($E:$E,$A:$A,A2)</f>
        <v>4640.1099999999997</v>
      </c>
    </row>
    <row r="3" spans="1:14" ht="28.8" x14ac:dyDescent="0.3">
      <c r="A3" s="1" t="s">
        <v>13</v>
      </c>
      <c r="B3" s="1" t="s">
        <v>14</v>
      </c>
      <c r="C3" s="1" t="s">
        <v>11</v>
      </c>
      <c r="D3" s="1" t="s">
        <v>15</v>
      </c>
      <c r="E3" s="1">
        <v>1101.28</v>
      </c>
      <c r="F3" s="1">
        <v>3</v>
      </c>
      <c r="G3" s="2">
        <v>0.2</v>
      </c>
      <c r="H3" s="3">
        <v>45393</v>
      </c>
      <c r="I3" s="1">
        <v>440.51</v>
      </c>
      <c r="J3" s="8">
        <f t="shared" ref="J3:J66" si="0">SUMIFS($E:$E,$A:$A,A3)</f>
        <v>8339</v>
      </c>
    </row>
    <row r="4" spans="1:14" ht="28.8" x14ac:dyDescent="0.3">
      <c r="A4" s="1" t="s">
        <v>16</v>
      </c>
      <c r="B4" s="1" t="s">
        <v>17</v>
      </c>
      <c r="C4" s="1" t="s">
        <v>18</v>
      </c>
      <c r="D4" s="1" t="s">
        <v>12</v>
      </c>
      <c r="E4" s="1">
        <v>713.34</v>
      </c>
      <c r="F4" s="1">
        <v>17</v>
      </c>
      <c r="G4" s="2">
        <v>0</v>
      </c>
      <c r="H4" s="3">
        <v>45396</v>
      </c>
      <c r="I4" s="1">
        <v>285.33999999999997</v>
      </c>
      <c r="J4" s="8">
        <f t="shared" si="0"/>
        <v>3419.2</v>
      </c>
    </row>
    <row r="5" spans="1:14" ht="28.8" x14ac:dyDescent="0.3">
      <c r="A5" s="1" t="s">
        <v>19</v>
      </c>
      <c r="B5" s="1" t="s">
        <v>14</v>
      </c>
      <c r="C5" s="1" t="s">
        <v>20</v>
      </c>
      <c r="D5" s="1" t="s">
        <v>21</v>
      </c>
      <c r="E5" s="1">
        <v>760.93</v>
      </c>
      <c r="F5" s="1">
        <v>4</v>
      </c>
      <c r="G5" s="2">
        <v>0.15</v>
      </c>
      <c r="H5" s="3">
        <v>45396</v>
      </c>
      <c r="I5" s="1">
        <v>161.69999999999999</v>
      </c>
      <c r="J5" s="8">
        <f t="shared" si="0"/>
        <v>6666.130000000001</v>
      </c>
      <c r="M5" s="5" t="s">
        <v>77</v>
      </c>
      <c r="N5" s="6" t="s">
        <v>78</v>
      </c>
    </row>
    <row r="6" spans="1:14" ht="28.8" x14ac:dyDescent="0.3">
      <c r="A6" s="1" t="s">
        <v>22</v>
      </c>
      <c r="B6" s="1" t="s">
        <v>23</v>
      </c>
      <c r="C6" s="1" t="s">
        <v>24</v>
      </c>
      <c r="D6" s="1" t="s">
        <v>12</v>
      </c>
      <c r="E6" s="1">
        <v>847</v>
      </c>
      <c r="F6" s="1">
        <v>12</v>
      </c>
      <c r="G6" s="2">
        <v>0.2</v>
      </c>
      <c r="H6" s="3">
        <v>45397</v>
      </c>
      <c r="I6" s="1">
        <v>271.04000000000002</v>
      </c>
      <c r="J6" s="8">
        <f t="shared" si="0"/>
        <v>7928.71</v>
      </c>
    </row>
    <row r="7" spans="1:14" ht="28.8" x14ac:dyDescent="0.3">
      <c r="A7" s="1" t="s">
        <v>25</v>
      </c>
      <c r="B7" s="1" t="s">
        <v>26</v>
      </c>
      <c r="C7" s="1" t="s">
        <v>24</v>
      </c>
      <c r="D7" s="1" t="s">
        <v>27</v>
      </c>
      <c r="E7" s="1">
        <v>965.64</v>
      </c>
      <c r="F7" s="1">
        <v>8</v>
      </c>
      <c r="G7" s="2">
        <v>0.1</v>
      </c>
      <c r="H7" s="3">
        <v>45398</v>
      </c>
      <c r="I7" s="1">
        <v>304.18</v>
      </c>
      <c r="J7" s="8">
        <f t="shared" si="0"/>
        <v>9941.8799999999992</v>
      </c>
    </row>
    <row r="8" spans="1:14" ht="28.8" x14ac:dyDescent="0.3">
      <c r="A8" s="1" t="s">
        <v>28</v>
      </c>
      <c r="B8" s="1" t="s">
        <v>29</v>
      </c>
      <c r="C8" s="1" t="s">
        <v>11</v>
      </c>
      <c r="D8" s="1" t="s">
        <v>21</v>
      </c>
      <c r="E8" s="1">
        <v>1317.53</v>
      </c>
      <c r="F8" s="1">
        <v>12</v>
      </c>
      <c r="G8" s="2">
        <v>0.05</v>
      </c>
      <c r="H8" s="3">
        <v>45398</v>
      </c>
      <c r="I8" s="1">
        <v>312.91000000000003</v>
      </c>
      <c r="J8" s="8">
        <f t="shared" si="0"/>
        <v>6549.55</v>
      </c>
    </row>
    <row r="9" spans="1:14" ht="28.8" x14ac:dyDescent="0.3">
      <c r="A9" s="1" t="s">
        <v>30</v>
      </c>
      <c r="B9" s="1" t="s">
        <v>31</v>
      </c>
      <c r="C9" s="1" t="s">
        <v>18</v>
      </c>
      <c r="D9" s="1" t="s">
        <v>27</v>
      </c>
      <c r="E9" s="1">
        <v>1074.47</v>
      </c>
      <c r="F9" s="1">
        <v>6</v>
      </c>
      <c r="G9" s="2">
        <v>0.2</v>
      </c>
      <c r="H9" s="3">
        <v>45401</v>
      </c>
      <c r="I9" s="1">
        <v>300.85000000000002</v>
      </c>
      <c r="J9" s="8">
        <f t="shared" si="0"/>
        <v>9371.81</v>
      </c>
    </row>
    <row r="10" spans="1:14" ht="28.8" x14ac:dyDescent="0.3">
      <c r="A10" s="1" t="s">
        <v>32</v>
      </c>
      <c r="B10" s="1" t="s">
        <v>33</v>
      </c>
      <c r="C10" s="1" t="s">
        <v>34</v>
      </c>
      <c r="D10" s="1" t="s">
        <v>12</v>
      </c>
      <c r="E10" s="1">
        <v>501.54</v>
      </c>
      <c r="F10" s="1">
        <v>11</v>
      </c>
      <c r="G10" s="2">
        <v>0.05</v>
      </c>
      <c r="H10" s="3">
        <v>45401</v>
      </c>
      <c r="I10" s="1">
        <v>190.59</v>
      </c>
      <c r="J10" s="8">
        <f t="shared" si="0"/>
        <v>6505.2</v>
      </c>
    </row>
    <row r="11" spans="1:14" ht="28.8" x14ac:dyDescent="0.3">
      <c r="A11" s="1" t="s">
        <v>35</v>
      </c>
      <c r="B11" s="1" t="s">
        <v>36</v>
      </c>
      <c r="C11" s="1" t="s">
        <v>34</v>
      </c>
      <c r="D11" s="1" t="s">
        <v>15</v>
      </c>
      <c r="E11" s="1">
        <v>737.31</v>
      </c>
      <c r="F11" s="1">
        <v>2</v>
      </c>
      <c r="G11" s="2">
        <v>0.05</v>
      </c>
      <c r="H11" s="3">
        <v>45401</v>
      </c>
      <c r="I11" s="1">
        <v>350.22</v>
      </c>
      <c r="J11" s="8">
        <f t="shared" si="0"/>
        <v>4259.22</v>
      </c>
    </row>
    <row r="12" spans="1:14" ht="28.8" x14ac:dyDescent="0.3">
      <c r="A12" s="1" t="s">
        <v>37</v>
      </c>
      <c r="B12" s="1" t="s">
        <v>38</v>
      </c>
      <c r="C12" s="1" t="s">
        <v>11</v>
      </c>
      <c r="D12" s="1" t="s">
        <v>39</v>
      </c>
      <c r="E12" s="1">
        <v>1572.82</v>
      </c>
      <c r="F12" s="1">
        <v>6</v>
      </c>
      <c r="G12" s="2">
        <v>0.05</v>
      </c>
      <c r="H12" s="3">
        <v>45402</v>
      </c>
      <c r="I12" s="1">
        <v>672.38</v>
      </c>
      <c r="J12" s="8">
        <f t="shared" si="0"/>
        <v>6729.8899999999994</v>
      </c>
    </row>
    <row r="13" spans="1:14" ht="28.8" x14ac:dyDescent="0.3">
      <c r="A13" s="1" t="s">
        <v>37</v>
      </c>
      <c r="B13" s="1" t="s">
        <v>36</v>
      </c>
      <c r="C13" s="1" t="s">
        <v>34</v>
      </c>
      <c r="D13" s="1" t="s">
        <v>12</v>
      </c>
      <c r="E13" s="1">
        <v>1343.13</v>
      </c>
      <c r="F13" s="1">
        <v>14</v>
      </c>
      <c r="G13" s="2">
        <v>0.15</v>
      </c>
      <c r="H13" s="3">
        <v>45404</v>
      </c>
      <c r="I13" s="1">
        <v>456.66</v>
      </c>
      <c r="J13" s="8">
        <f t="shared" si="0"/>
        <v>6729.8899999999994</v>
      </c>
    </row>
    <row r="14" spans="1:14" ht="28.8" x14ac:dyDescent="0.3">
      <c r="A14" s="1" t="s">
        <v>25</v>
      </c>
      <c r="B14" s="1" t="s">
        <v>26</v>
      </c>
      <c r="C14" s="1" t="s">
        <v>34</v>
      </c>
      <c r="D14" s="1" t="s">
        <v>12</v>
      </c>
      <c r="E14" s="1">
        <v>1191.58</v>
      </c>
      <c r="F14" s="1">
        <v>14</v>
      </c>
      <c r="G14" s="2">
        <v>0.05</v>
      </c>
      <c r="H14" s="3">
        <v>45406</v>
      </c>
      <c r="I14" s="1">
        <v>452.8</v>
      </c>
      <c r="J14" s="8">
        <f t="shared" si="0"/>
        <v>9941.8799999999992</v>
      </c>
    </row>
    <row r="15" spans="1:14" ht="28.8" x14ac:dyDescent="0.3">
      <c r="A15" s="1" t="s">
        <v>40</v>
      </c>
      <c r="B15" s="1" t="s">
        <v>14</v>
      </c>
      <c r="C15" s="1" t="s">
        <v>11</v>
      </c>
      <c r="D15" s="1" t="s">
        <v>27</v>
      </c>
      <c r="E15" s="1">
        <v>822.28</v>
      </c>
      <c r="F15" s="1">
        <v>7</v>
      </c>
      <c r="G15" s="2">
        <v>0.05</v>
      </c>
      <c r="H15" s="3">
        <v>45406</v>
      </c>
      <c r="I15" s="1">
        <v>273.41000000000003</v>
      </c>
      <c r="J15" s="8">
        <f t="shared" si="0"/>
        <v>5913.68</v>
      </c>
    </row>
    <row r="16" spans="1:14" ht="28.8" x14ac:dyDescent="0.3">
      <c r="A16" s="1" t="s">
        <v>41</v>
      </c>
      <c r="B16" s="1" t="s">
        <v>42</v>
      </c>
      <c r="C16" s="1" t="s">
        <v>24</v>
      </c>
      <c r="D16" s="1" t="s">
        <v>27</v>
      </c>
      <c r="E16" s="1">
        <v>521.66999999999996</v>
      </c>
      <c r="F16" s="1">
        <v>15</v>
      </c>
      <c r="G16" s="2">
        <v>0.15</v>
      </c>
      <c r="H16" s="3">
        <v>45409</v>
      </c>
      <c r="I16" s="1">
        <v>155.19999999999999</v>
      </c>
      <c r="J16" s="8">
        <f t="shared" si="0"/>
        <v>5779.05</v>
      </c>
    </row>
    <row r="17" spans="1:10" ht="28.8" x14ac:dyDescent="0.3">
      <c r="A17" s="1" t="s">
        <v>19</v>
      </c>
      <c r="B17" s="1" t="s">
        <v>43</v>
      </c>
      <c r="C17" s="1" t="s">
        <v>20</v>
      </c>
      <c r="D17" s="1" t="s">
        <v>21</v>
      </c>
      <c r="E17" s="1">
        <v>1502.93</v>
      </c>
      <c r="F17" s="1">
        <v>14</v>
      </c>
      <c r="G17" s="2">
        <v>0.2</v>
      </c>
      <c r="H17" s="3">
        <v>45410</v>
      </c>
      <c r="I17" s="1">
        <v>300.58999999999997</v>
      </c>
      <c r="J17" s="8">
        <f t="shared" si="0"/>
        <v>6666.130000000001</v>
      </c>
    </row>
    <row r="18" spans="1:10" ht="28.8" x14ac:dyDescent="0.3">
      <c r="A18" s="1" t="s">
        <v>44</v>
      </c>
      <c r="B18" s="1" t="s">
        <v>14</v>
      </c>
      <c r="C18" s="1" t="s">
        <v>20</v>
      </c>
      <c r="D18" s="1" t="s">
        <v>12</v>
      </c>
      <c r="E18" s="1">
        <v>877.58</v>
      </c>
      <c r="F18" s="1">
        <v>10</v>
      </c>
      <c r="G18" s="2">
        <v>0.15</v>
      </c>
      <c r="H18" s="3">
        <v>45411</v>
      </c>
      <c r="I18" s="1">
        <v>298.38</v>
      </c>
      <c r="J18" s="8">
        <f t="shared" si="0"/>
        <v>9760.7999999999993</v>
      </c>
    </row>
    <row r="19" spans="1:10" ht="28.8" x14ac:dyDescent="0.3">
      <c r="A19" s="1" t="s">
        <v>28</v>
      </c>
      <c r="B19" s="1" t="s">
        <v>45</v>
      </c>
      <c r="C19" s="1" t="s">
        <v>11</v>
      </c>
      <c r="D19" s="1" t="s">
        <v>12</v>
      </c>
      <c r="E19" s="1">
        <v>636.70000000000005</v>
      </c>
      <c r="F19" s="1">
        <v>4</v>
      </c>
      <c r="G19" s="2">
        <v>0.2</v>
      </c>
      <c r="H19" s="3">
        <v>45411</v>
      </c>
      <c r="I19" s="1">
        <v>203.74</v>
      </c>
      <c r="J19" s="8">
        <f t="shared" si="0"/>
        <v>6549.55</v>
      </c>
    </row>
    <row r="20" spans="1:10" ht="28.8" x14ac:dyDescent="0.3">
      <c r="A20" s="1" t="s">
        <v>46</v>
      </c>
      <c r="B20" s="1" t="s">
        <v>47</v>
      </c>
      <c r="C20" s="1" t="s">
        <v>11</v>
      </c>
      <c r="D20" s="1" t="s">
        <v>12</v>
      </c>
      <c r="E20" s="1">
        <v>1506.14</v>
      </c>
      <c r="F20" s="1">
        <v>13</v>
      </c>
      <c r="G20" s="2">
        <v>0.2</v>
      </c>
      <c r="H20" s="3">
        <v>45412</v>
      </c>
      <c r="I20" s="1">
        <v>481.96</v>
      </c>
      <c r="J20" s="8">
        <f t="shared" si="0"/>
        <v>2699.75</v>
      </c>
    </row>
    <row r="21" spans="1:10" ht="28.8" x14ac:dyDescent="0.3">
      <c r="A21" s="1" t="s">
        <v>30</v>
      </c>
      <c r="B21" s="1" t="s">
        <v>31</v>
      </c>
      <c r="C21" s="1" t="s">
        <v>34</v>
      </c>
      <c r="D21" s="1" t="s">
        <v>21</v>
      </c>
      <c r="E21" s="1">
        <v>645.02</v>
      </c>
      <c r="F21" s="1">
        <v>4</v>
      </c>
      <c r="G21" s="2">
        <v>0</v>
      </c>
      <c r="H21" s="3">
        <v>45414</v>
      </c>
      <c r="I21" s="1">
        <v>161.26</v>
      </c>
      <c r="J21" s="8">
        <f t="shared" si="0"/>
        <v>9371.81</v>
      </c>
    </row>
    <row r="22" spans="1:10" x14ac:dyDescent="0.3">
      <c r="A22" s="1" t="s">
        <v>25</v>
      </c>
      <c r="B22" s="1" t="s">
        <v>48</v>
      </c>
      <c r="C22" s="1" t="s">
        <v>20</v>
      </c>
      <c r="D22" s="1" t="s">
        <v>15</v>
      </c>
      <c r="E22" s="1">
        <v>953.3</v>
      </c>
      <c r="F22" s="1">
        <v>11</v>
      </c>
      <c r="G22" s="2">
        <v>0</v>
      </c>
      <c r="H22" s="3">
        <v>45415</v>
      </c>
      <c r="I22" s="1">
        <v>476.65</v>
      </c>
      <c r="J22" s="8">
        <f t="shared" si="0"/>
        <v>9941.8799999999992</v>
      </c>
    </row>
    <row r="23" spans="1:10" ht="28.8" x14ac:dyDescent="0.3">
      <c r="A23" s="1" t="s">
        <v>49</v>
      </c>
      <c r="B23" s="1" t="s">
        <v>14</v>
      </c>
      <c r="C23" s="1" t="s">
        <v>24</v>
      </c>
      <c r="D23" s="1" t="s">
        <v>21</v>
      </c>
      <c r="E23" s="1">
        <v>388.56</v>
      </c>
      <c r="F23" s="1">
        <v>14</v>
      </c>
      <c r="G23" s="2">
        <v>0.15</v>
      </c>
      <c r="H23" s="3">
        <v>45416</v>
      </c>
      <c r="I23" s="1">
        <v>82.57</v>
      </c>
      <c r="J23" s="8">
        <f t="shared" si="0"/>
        <v>4418.2800000000007</v>
      </c>
    </row>
    <row r="24" spans="1:10" ht="28.8" x14ac:dyDescent="0.3">
      <c r="A24" s="1" t="s">
        <v>9</v>
      </c>
      <c r="B24" s="1" t="s">
        <v>31</v>
      </c>
      <c r="C24" s="1" t="s">
        <v>11</v>
      </c>
      <c r="D24" s="1" t="s">
        <v>12</v>
      </c>
      <c r="E24" s="1">
        <v>743.17</v>
      </c>
      <c r="F24" s="1">
        <v>9</v>
      </c>
      <c r="G24" s="2">
        <v>0</v>
      </c>
      <c r="H24" s="3">
        <v>45416</v>
      </c>
      <c r="I24" s="1">
        <v>297.27</v>
      </c>
      <c r="J24" s="8">
        <f t="shared" si="0"/>
        <v>4640.1099999999997</v>
      </c>
    </row>
    <row r="25" spans="1:10" ht="28.8" x14ac:dyDescent="0.3">
      <c r="A25" s="1" t="s">
        <v>40</v>
      </c>
      <c r="B25" s="1" t="s">
        <v>31</v>
      </c>
      <c r="C25" s="1" t="s">
        <v>34</v>
      </c>
      <c r="D25" s="1" t="s">
        <v>21</v>
      </c>
      <c r="E25" s="1">
        <v>706.37</v>
      </c>
      <c r="F25" s="1">
        <v>6</v>
      </c>
      <c r="G25" s="2">
        <v>0</v>
      </c>
      <c r="H25" s="3">
        <v>45416</v>
      </c>
      <c r="I25" s="1">
        <v>176.59</v>
      </c>
      <c r="J25" s="8">
        <f t="shared" si="0"/>
        <v>5913.68</v>
      </c>
    </row>
    <row r="26" spans="1:10" ht="28.8" x14ac:dyDescent="0.3">
      <c r="A26" s="1" t="s">
        <v>13</v>
      </c>
      <c r="B26" s="1" t="s">
        <v>31</v>
      </c>
      <c r="C26" s="1" t="s">
        <v>34</v>
      </c>
      <c r="D26" s="1" t="s">
        <v>39</v>
      </c>
      <c r="E26" s="1">
        <v>925.31</v>
      </c>
      <c r="F26" s="1">
        <v>8</v>
      </c>
      <c r="G26" s="2">
        <v>0.1</v>
      </c>
      <c r="H26" s="3">
        <v>45418</v>
      </c>
      <c r="I26" s="1">
        <v>374.75</v>
      </c>
      <c r="J26" s="8">
        <f t="shared" si="0"/>
        <v>8339</v>
      </c>
    </row>
    <row r="27" spans="1:10" ht="28.8" x14ac:dyDescent="0.3">
      <c r="A27" s="1" t="s">
        <v>35</v>
      </c>
      <c r="B27" s="1" t="s">
        <v>50</v>
      </c>
      <c r="C27" s="1" t="s">
        <v>20</v>
      </c>
      <c r="D27" s="1" t="s">
        <v>21</v>
      </c>
      <c r="E27" s="1">
        <v>1173.1199999999999</v>
      </c>
      <c r="F27" s="1">
        <v>18</v>
      </c>
      <c r="G27" s="2">
        <v>0</v>
      </c>
      <c r="H27" s="3">
        <v>45418</v>
      </c>
      <c r="I27" s="1">
        <v>293.27999999999997</v>
      </c>
      <c r="J27" s="8">
        <f t="shared" si="0"/>
        <v>4259.22</v>
      </c>
    </row>
    <row r="28" spans="1:10" ht="28.8" x14ac:dyDescent="0.3">
      <c r="A28" s="1" t="s">
        <v>22</v>
      </c>
      <c r="B28" s="1" t="s">
        <v>51</v>
      </c>
      <c r="C28" s="1" t="s">
        <v>24</v>
      </c>
      <c r="D28" s="1" t="s">
        <v>27</v>
      </c>
      <c r="E28" s="1">
        <v>675.54</v>
      </c>
      <c r="F28" s="1">
        <v>17</v>
      </c>
      <c r="G28" s="2">
        <v>0</v>
      </c>
      <c r="H28" s="3">
        <v>45420</v>
      </c>
      <c r="I28" s="1">
        <v>236.44</v>
      </c>
      <c r="J28" s="8">
        <f t="shared" si="0"/>
        <v>7928.71</v>
      </c>
    </row>
    <row r="29" spans="1:10" ht="28.8" x14ac:dyDescent="0.3">
      <c r="A29" s="1" t="s">
        <v>25</v>
      </c>
      <c r="B29" s="1" t="s">
        <v>14</v>
      </c>
      <c r="C29" s="1" t="s">
        <v>34</v>
      </c>
      <c r="D29" s="1" t="s">
        <v>12</v>
      </c>
      <c r="E29" s="1">
        <v>939.09</v>
      </c>
      <c r="F29" s="1">
        <v>2</v>
      </c>
      <c r="G29" s="2">
        <v>0.05</v>
      </c>
      <c r="H29" s="3">
        <v>45422</v>
      </c>
      <c r="I29" s="1">
        <v>356.85</v>
      </c>
      <c r="J29" s="8">
        <f t="shared" si="0"/>
        <v>9941.8799999999992</v>
      </c>
    </row>
    <row r="30" spans="1:10" ht="28.8" x14ac:dyDescent="0.3">
      <c r="A30" s="1" t="s">
        <v>52</v>
      </c>
      <c r="B30" s="1" t="s">
        <v>53</v>
      </c>
      <c r="C30" s="1" t="s">
        <v>18</v>
      </c>
      <c r="D30" s="1" t="s">
        <v>39</v>
      </c>
      <c r="E30" s="1">
        <v>983.34</v>
      </c>
      <c r="F30" s="1">
        <v>19</v>
      </c>
      <c r="G30" s="2">
        <v>0.1</v>
      </c>
      <c r="H30" s="3">
        <v>45426</v>
      </c>
      <c r="I30" s="1">
        <v>398.25</v>
      </c>
      <c r="J30" s="8">
        <f t="shared" si="0"/>
        <v>10293.870000000001</v>
      </c>
    </row>
    <row r="31" spans="1:10" ht="28.8" x14ac:dyDescent="0.3">
      <c r="A31" s="1" t="s">
        <v>52</v>
      </c>
      <c r="B31" s="1" t="s">
        <v>23</v>
      </c>
      <c r="C31" s="1" t="s">
        <v>20</v>
      </c>
      <c r="D31" s="1" t="s">
        <v>21</v>
      </c>
      <c r="E31" s="1">
        <v>801.21</v>
      </c>
      <c r="F31" s="1">
        <v>3</v>
      </c>
      <c r="G31" s="2">
        <v>0.2</v>
      </c>
      <c r="H31" s="3">
        <v>45426</v>
      </c>
      <c r="I31" s="1">
        <v>160.24</v>
      </c>
      <c r="J31" s="8">
        <f t="shared" si="0"/>
        <v>10293.870000000001</v>
      </c>
    </row>
    <row r="32" spans="1:10" ht="28.8" x14ac:dyDescent="0.3">
      <c r="A32" s="1" t="s">
        <v>54</v>
      </c>
      <c r="B32" s="1" t="s">
        <v>55</v>
      </c>
      <c r="C32" s="1" t="s">
        <v>24</v>
      </c>
      <c r="D32" s="1" t="s">
        <v>21</v>
      </c>
      <c r="E32" s="1">
        <v>1450.71</v>
      </c>
      <c r="F32" s="1">
        <v>5</v>
      </c>
      <c r="G32" s="2">
        <v>0.1</v>
      </c>
      <c r="H32" s="3">
        <v>45427</v>
      </c>
      <c r="I32" s="1">
        <v>326.41000000000003</v>
      </c>
      <c r="J32" s="8">
        <f t="shared" si="0"/>
        <v>6716.52</v>
      </c>
    </row>
    <row r="33" spans="1:10" ht="28.8" x14ac:dyDescent="0.3">
      <c r="A33" s="1" t="s">
        <v>49</v>
      </c>
      <c r="B33" s="1" t="s">
        <v>56</v>
      </c>
      <c r="C33" s="1" t="s">
        <v>34</v>
      </c>
      <c r="D33" s="1" t="s">
        <v>12</v>
      </c>
      <c r="E33" s="1">
        <v>1023.21</v>
      </c>
      <c r="F33" s="1">
        <v>18</v>
      </c>
      <c r="G33" s="2">
        <v>0.05</v>
      </c>
      <c r="H33" s="3">
        <v>45428</v>
      </c>
      <c r="I33" s="1">
        <v>388.82</v>
      </c>
      <c r="J33" s="8">
        <f t="shared" si="0"/>
        <v>4418.2800000000007</v>
      </c>
    </row>
    <row r="34" spans="1:10" ht="28.8" x14ac:dyDescent="0.3">
      <c r="A34" s="1" t="s">
        <v>28</v>
      </c>
      <c r="B34" s="1" t="s">
        <v>47</v>
      </c>
      <c r="C34" s="1" t="s">
        <v>11</v>
      </c>
      <c r="D34" s="1" t="s">
        <v>27</v>
      </c>
      <c r="E34" s="1">
        <v>853.72</v>
      </c>
      <c r="F34" s="1">
        <v>5</v>
      </c>
      <c r="G34" s="2">
        <v>0.15</v>
      </c>
      <c r="H34" s="3">
        <v>45428</v>
      </c>
      <c r="I34" s="1">
        <v>253.98</v>
      </c>
      <c r="J34" s="8">
        <f t="shared" si="0"/>
        <v>6549.55</v>
      </c>
    </row>
    <row r="35" spans="1:10" ht="28.8" x14ac:dyDescent="0.3">
      <c r="A35" s="1" t="s">
        <v>57</v>
      </c>
      <c r="B35" s="1" t="s">
        <v>43</v>
      </c>
      <c r="C35" s="1" t="s">
        <v>20</v>
      </c>
      <c r="D35" s="1" t="s">
        <v>21</v>
      </c>
      <c r="E35" s="1">
        <v>967.89</v>
      </c>
      <c r="F35" s="1">
        <v>10</v>
      </c>
      <c r="G35" s="2">
        <v>0.1</v>
      </c>
      <c r="H35" s="3">
        <v>45429</v>
      </c>
      <c r="I35" s="1">
        <v>217.78</v>
      </c>
      <c r="J35" s="8">
        <f t="shared" si="0"/>
        <v>8740.18</v>
      </c>
    </row>
    <row r="36" spans="1:10" ht="28.8" x14ac:dyDescent="0.3">
      <c r="A36" s="1" t="s">
        <v>58</v>
      </c>
      <c r="B36" s="1" t="s">
        <v>53</v>
      </c>
      <c r="C36" s="1" t="s">
        <v>24</v>
      </c>
      <c r="D36" s="1" t="s">
        <v>39</v>
      </c>
      <c r="E36" s="1">
        <v>1200.9000000000001</v>
      </c>
      <c r="F36" s="1">
        <v>14</v>
      </c>
      <c r="G36" s="2">
        <v>0.05</v>
      </c>
      <c r="H36" s="3">
        <v>45429</v>
      </c>
      <c r="I36" s="1">
        <v>513.38</v>
      </c>
      <c r="J36" s="8">
        <f t="shared" si="0"/>
        <v>11611.060000000001</v>
      </c>
    </row>
    <row r="37" spans="1:10" ht="28.8" x14ac:dyDescent="0.3">
      <c r="A37" s="1" t="s">
        <v>13</v>
      </c>
      <c r="B37" s="1" t="s">
        <v>26</v>
      </c>
      <c r="C37" s="1" t="s">
        <v>11</v>
      </c>
      <c r="D37" s="1" t="s">
        <v>12</v>
      </c>
      <c r="E37" s="1">
        <v>472.38</v>
      </c>
      <c r="F37" s="1">
        <v>12</v>
      </c>
      <c r="G37" s="2">
        <v>0.2</v>
      </c>
      <c r="H37" s="3">
        <v>45429</v>
      </c>
      <c r="I37" s="1">
        <v>151.16</v>
      </c>
      <c r="J37" s="8">
        <f t="shared" si="0"/>
        <v>8339</v>
      </c>
    </row>
    <row r="38" spans="1:10" ht="28.8" x14ac:dyDescent="0.3">
      <c r="A38" s="1" t="s">
        <v>9</v>
      </c>
      <c r="B38" s="1" t="s">
        <v>55</v>
      </c>
      <c r="C38" s="1" t="s">
        <v>18</v>
      </c>
      <c r="D38" s="1" t="s">
        <v>39</v>
      </c>
      <c r="E38" s="1">
        <v>840.92</v>
      </c>
      <c r="F38" s="1">
        <v>9</v>
      </c>
      <c r="G38" s="2">
        <v>0.05</v>
      </c>
      <c r="H38" s="3">
        <v>45429</v>
      </c>
      <c r="I38" s="1">
        <v>359.49</v>
      </c>
      <c r="J38" s="8">
        <f t="shared" si="0"/>
        <v>4640.1099999999997</v>
      </c>
    </row>
    <row r="39" spans="1:10" x14ac:dyDescent="0.3">
      <c r="A39" s="1" t="s">
        <v>52</v>
      </c>
      <c r="B39" s="1" t="s">
        <v>48</v>
      </c>
      <c r="C39" s="1" t="s">
        <v>34</v>
      </c>
      <c r="D39" s="1" t="s">
        <v>27</v>
      </c>
      <c r="E39" s="1">
        <v>1410.06</v>
      </c>
      <c r="F39" s="1">
        <v>11</v>
      </c>
      <c r="G39" s="2">
        <v>0.05</v>
      </c>
      <c r="H39" s="3">
        <v>45434</v>
      </c>
      <c r="I39" s="1">
        <v>468.84</v>
      </c>
      <c r="J39" s="8">
        <f t="shared" si="0"/>
        <v>10293.870000000001</v>
      </c>
    </row>
    <row r="40" spans="1:10" ht="28.8" x14ac:dyDescent="0.3">
      <c r="A40" s="1" t="s">
        <v>44</v>
      </c>
      <c r="B40" s="1" t="s">
        <v>59</v>
      </c>
      <c r="C40" s="1" t="s">
        <v>34</v>
      </c>
      <c r="D40" s="1" t="s">
        <v>27</v>
      </c>
      <c r="E40" s="1">
        <v>773.09</v>
      </c>
      <c r="F40" s="1">
        <v>13</v>
      </c>
      <c r="G40" s="2">
        <v>0.15</v>
      </c>
      <c r="H40" s="3">
        <v>45434</v>
      </c>
      <c r="I40" s="1">
        <v>229.99</v>
      </c>
      <c r="J40" s="8">
        <f t="shared" si="0"/>
        <v>9760.7999999999993</v>
      </c>
    </row>
    <row r="41" spans="1:10" ht="28.8" x14ac:dyDescent="0.3">
      <c r="A41" s="1" t="s">
        <v>60</v>
      </c>
      <c r="B41" s="1" t="s">
        <v>61</v>
      </c>
      <c r="C41" s="1" t="s">
        <v>18</v>
      </c>
      <c r="D41" s="1" t="s">
        <v>12</v>
      </c>
      <c r="E41" s="1">
        <v>580.42999999999995</v>
      </c>
      <c r="F41" s="1">
        <v>19</v>
      </c>
      <c r="G41" s="2">
        <v>0.15</v>
      </c>
      <c r="H41" s="3">
        <v>45435</v>
      </c>
      <c r="I41" s="1">
        <v>197.35</v>
      </c>
      <c r="J41" s="8">
        <f t="shared" si="0"/>
        <v>3369.17</v>
      </c>
    </row>
    <row r="42" spans="1:10" ht="28.8" x14ac:dyDescent="0.3">
      <c r="A42" s="1" t="s">
        <v>19</v>
      </c>
      <c r="B42" s="1" t="s">
        <v>42</v>
      </c>
      <c r="C42" s="1" t="s">
        <v>20</v>
      </c>
      <c r="D42" s="1" t="s">
        <v>12</v>
      </c>
      <c r="E42" s="1">
        <v>1151.21</v>
      </c>
      <c r="F42" s="1">
        <v>15</v>
      </c>
      <c r="G42" s="2">
        <v>0.1</v>
      </c>
      <c r="H42" s="3">
        <v>45445</v>
      </c>
      <c r="I42" s="1">
        <v>414.44</v>
      </c>
      <c r="J42" s="8">
        <f t="shared" si="0"/>
        <v>6666.130000000001</v>
      </c>
    </row>
    <row r="43" spans="1:10" ht="28.8" x14ac:dyDescent="0.3">
      <c r="A43" s="1" t="s">
        <v>52</v>
      </c>
      <c r="B43" s="1" t="s">
        <v>23</v>
      </c>
      <c r="C43" s="1" t="s">
        <v>34</v>
      </c>
      <c r="D43" s="1" t="s">
        <v>39</v>
      </c>
      <c r="E43" s="1">
        <v>1025.98</v>
      </c>
      <c r="F43" s="1">
        <v>5</v>
      </c>
      <c r="G43" s="2">
        <v>0.2</v>
      </c>
      <c r="H43" s="3">
        <v>45447</v>
      </c>
      <c r="I43" s="1">
        <v>369.35</v>
      </c>
      <c r="J43" s="8">
        <f t="shared" si="0"/>
        <v>10293.870000000001</v>
      </c>
    </row>
    <row r="44" spans="1:10" ht="28.8" x14ac:dyDescent="0.3">
      <c r="A44" s="1" t="s">
        <v>40</v>
      </c>
      <c r="B44" s="1" t="s">
        <v>56</v>
      </c>
      <c r="C44" s="1" t="s">
        <v>18</v>
      </c>
      <c r="D44" s="1" t="s">
        <v>39</v>
      </c>
      <c r="E44" s="1">
        <v>556.41999999999996</v>
      </c>
      <c r="F44" s="1">
        <v>11</v>
      </c>
      <c r="G44" s="2">
        <v>0.15</v>
      </c>
      <c r="H44" s="3">
        <v>45447</v>
      </c>
      <c r="I44" s="1">
        <v>212.83</v>
      </c>
      <c r="J44" s="8">
        <f t="shared" si="0"/>
        <v>5913.68</v>
      </c>
    </row>
    <row r="45" spans="1:10" ht="28.8" x14ac:dyDescent="0.3">
      <c r="A45" s="1" t="s">
        <v>57</v>
      </c>
      <c r="B45" s="1" t="s">
        <v>23</v>
      </c>
      <c r="C45" s="1" t="s">
        <v>34</v>
      </c>
      <c r="D45" s="1" t="s">
        <v>12</v>
      </c>
      <c r="E45" s="1">
        <v>840.85</v>
      </c>
      <c r="F45" s="1">
        <v>19</v>
      </c>
      <c r="G45" s="2">
        <v>0.1</v>
      </c>
      <c r="H45" s="3">
        <v>45448</v>
      </c>
      <c r="I45" s="1">
        <v>302.70999999999998</v>
      </c>
      <c r="J45" s="8">
        <f t="shared" si="0"/>
        <v>8740.18</v>
      </c>
    </row>
    <row r="46" spans="1:10" ht="28.8" x14ac:dyDescent="0.3">
      <c r="A46" s="1" t="s">
        <v>30</v>
      </c>
      <c r="B46" s="1" t="s">
        <v>61</v>
      </c>
      <c r="C46" s="1" t="s">
        <v>24</v>
      </c>
      <c r="D46" s="1" t="s">
        <v>27</v>
      </c>
      <c r="E46" s="1">
        <v>1227.25</v>
      </c>
      <c r="F46" s="1">
        <v>12</v>
      </c>
      <c r="G46" s="2">
        <v>0.15</v>
      </c>
      <c r="H46" s="3">
        <v>45448</v>
      </c>
      <c r="I46" s="1">
        <v>365.11</v>
      </c>
      <c r="J46" s="8">
        <f t="shared" si="0"/>
        <v>9371.81</v>
      </c>
    </row>
    <row r="47" spans="1:10" ht="28.8" x14ac:dyDescent="0.3">
      <c r="A47" s="1" t="s">
        <v>16</v>
      </c>
      <c r="B47" s="1" t="s">
        <v>62</v>
      </c>
      <c r="C47" s="1" t="s">
        <v>34</v>
      </c>
      <c r="D47" s="1" t="s">
        <v>21</v>
      </c>
      <c r="E47" s="1">
        <v>856.7</v>
      </c>
      <c r="F47" s="1">
        <v>2</v>
      </c>
      <c r="G47" s="2">
        <v>0</v>
      </c>
      <c r="H47" s="3">
        <v>45449</v>
      </c>
      <c r="I47" s="1">
        <v>214.18</v>
      </c>
      <c r="J47" s="8">
        <f t="shared" si="0"/>
        <v>3419.2</v>
      </c>
    </row>
    <row r="48" spans="1:10" ht="28.8" x14ac:dyDescent="0.3">
      <c r="A48" s="1" t="s">
        <v>54</v>
      </c>
      <c r="B48" s="1" t="s">
        <v>56</v>
      </c>
      <c r="C48" s="1" t="s">
        <v>34</v>
      </c>
      <c r="D48" s="1" t="s">
        <v>39</v>
      </c>
      <c r="E48" s="1">
        <v>1225.42</v>
      </c>
      <c r="F48" s="1">
        <v>8</v>
      </c>
      <c r="G48" s="2">
        <v>0.15</v>
      </c>
      <c r="H48" s="3">
        <v>45449</v>
      </c>
      <c r="I48" s="1">
        <v>468.72</v>
      </c>
      <c r="J48" s="8">
        <f t="shared" si="0"/>
        <v>6716.52</v>
      </c>
    </row>
    <row r="49" spans="1:10" ht="28.8" x14ac:dyDescent="0.3">
      <c r="A49" s="1" t="s">
        <v>63</v>
      </c>
      <c r="B49" s="1" t="s">
        <v>31</v>
      </c>
      <c r="C49" s="1" t="s">
        <v>24</v>
      </c>
      <c r="D49" s="1" t="s">
        <v>39</v>
      </c>
      <c r="E49" s="1">
        <v>1001.57</v>
      </c>
      <c r="F49" s="1">
        <v>12</v>
      </c>
      <c r="G49" s="2">
        <v>0</v>
      </c>
      <c r="H49" s="3">
        <v>45450</v>
      </c>
      <c r="I49" s="1">
        <v>450.71</v>
      </c>
      <c r="J49" s="8">
        <f t="shared" si="0"/>
        <v>3762.2900000000004</v>
      </c>
    </row>
    <row r="50" spans="1:10" ht="28.8" x14ac:dyDescent="0.3">
      <c r="A50" s="1" t="s">
        <v>57</v>
      </c>
      <c r="B50" s="1" t="s">
        <v>26</v>
      </c>
      <c r="C50" s="1" t="s">
        <v>18</v>
      </c>
      <c r="D50" s="1" t="s">
        <v>27</v>
      </c>
      <c r="E50" s="1">
        <v>1186.8499999999999</v>
      </c>
      <c r="F50" s="1">
        <v>19</v>
      </c>
      <c r="G50" s="2">
        <v>0.2</v>
      </c>
      <c r="H50" s="3">
        <v>45451</v>
      </c>
      <c r="I50" s="1">
        <v>332.32</v>
      </c>
      <c r="J50" s="8">
        <f t="shared" si="0"/>
        <v>8740.18</v>
      </c>
    </row>
    <row r="51" spans="1:10" ht="28.8" x14ac:dyDescent="0.3">
      <c r="A51" s="1" t="s">
        <v>44</v>
      </c>
      <c r="B51" s="1" t="s">
        <v>51</v>
      </c>
      <c r="C51" s="1" t="s">
        <v>20</v>
      </c>
      <c r="D51" s="1" t="s">
        <v>21</v>
      </c>
      <c r="E51" s="1">
        <v>775.45</v>
      </c>
      <c r="F51" s="1">
        <v>6</v>
      </c>
      <c r="G51" s="2">
        <v>0.1</v>
      </c>
      <c r="H51" s="3">
        <v>45457</v>
      </c>
      <c r="I51" s="1">
        <v>174.48</v>
      </c>
      <c r="J51" s="8">
        <f t="shared" si="0"/>
        <v>9760.7999999999993</v>
      </c>
    </row>
    <row r="52" spans="1:10" ht="28.8" x14ac:dyDescent="0.3">
      <c r="A52" s="1" t="s">
        <v>25</v>
      </c>
      <c r="B52" s="1" t="s">
        <v>33</v>
      </c>
      <c r="C52" s="1" t="s">
        <v>20</v>
      </c>
      <c r="D52" s="1" t="s">
        <v>21</v>
      </c>
      <c r="E52" s="1">
        <v>1021.47</v>
      </c>
      <c r="F52" s="1">
        <v>6</v>
      </c>
      <c r="G52" s="2">
        <v>0.05</v>
      </c>
      <c r="H52" s="3">
        <v>45461</v>
      </c>
      <c r="I52" s="1">
        <v>242.6</v>
      </c>
      <c r="J52" s="8">
        <f t="shared" si="0"/>
        <v>9941.8799999999992</v>
      </c>
    </row>
    <row r="53" spans="1:10" ht="28.8" x14ac:dyDescent="0.3">
      <c r="A53" s="1" t="s">
        <v>58</v>
      </c>
      <c r="B53" s="1" t="s">
        <v>23</v>
      </c>
      <c r="C53" s="1" t="s">
        <v>20</v>
      </c>
      <c r="D53" s="1" t="s">
        <v>15</v>
      </c>
      <c r="E53" s="1">
        <v>1226.6199999999999</v>
      </c>
      <c r="F53" s="1">
        <v>7</v>
      </c>
      <c r="G53" s="2">
        <v>0.1</v>
      </c>
      <c r="H53" s="3">
        <v>45463</v>
      </c>
      <c r="I53" s="1">
        <v>551.98</v>
      </c>
      <c r="J53" s="8">
        <f t="shared" si="0"/>
        <v>11611.060000000001</v>
      </c>
    </row>
    <row r="54" spans="1:10" ht="28.8" x14ac:dyDescent="0.3">
      <c r="A54" s="1" t="s">
        <v>22</v>
      </c>
      <c r="B54" s="1" t="s">
        <v>64</v>
      </c>
      <c r="C54" s="1" t="s">
        <v>20</v>
      </c>
      <c r="D54" s="1" t="s">
        <v>27</v>
      </c>
      <c r="E54" s="1">
        <v>1086.93</v>
      </c>
      <c r="F54" s="1">
        <v>2</v>
      </c>
      <c r="G54" s="2">
        <v>0</v>
      </c>
      <c r="H54" s="3">
        <v>45464</v>
      </c>
      <c r="I54" s="1">
        <v>380.43</v>
      </c>
      <c r="J54" s="8">
        <f t="shared" si="0"/>
        <v>7928.71</v>
      </c>
    </row>
    <row r="55" spans="1:10" x14ac:dyDescent="0.3">
      <c r="A55" s="1" t="s">
        <v>65</v>
      </c>
      <c r="B55" s="1" t="s">
        <v>48</v>
      </c>
      <c r="C55" s="1" t="s">
        <v>11</v>
      </c>
      <c r="D55" s="1" t="s">
        <v>12</v>
      </c>
      <c r="E55" s="1">
        <v>942.9</v>
      </c>
      <c r="F55" s="1">
        <v>18</v>
      </c>
      <c r="G55" s="2">
        <v>0.1</v>
      </c>
      <c r="H55" s="3">
        <v>45466</v>
      </c>
      <c r="I55" s="1">
        <v>339.44</v>
      </c>
      <c r="J55" s="8">
        <f t="shared" si="0"/>
        <v>6481.43</v>
      </c>
    </row>
    <row r="56" spans="1:10" ht="28.8" x14ac:dyDescent="0.3">
      <c r="A56" s="1" t="s">
        <v>32</v>
      </c>
      <c r="B56" s="1" t="s">
        <v>38</v>
      </c>
      <c r="C56" s="1" t="s">
        <v>24</v>
      </c>
      <c r="D56" s="1" t="s">
        <v>21</v>
      </c>
      <c r="E56" s="1">
        <v>818.8</v>
      </c>
      <c r="F56" s="1">
        <v>15</v>
      </c>
      <c r="G56" s="2">
        <v>0.15</v>
      </c>
      <c r="H56" s="3">
        <v>45468</v>
      </c>
      <c r="I56" s="1">
        <v>173.99</v>
      </c>
      <c r="J56" s="8">
        <f t="shared" si="0"/>
        <v>6505.2</v>
      </c>
    </row>
    <row r="57" spans="1:10" ht="28.8" x14ac:dyDescent="0.3">
      <c r="A57" s="1" t="s">
        <v>19</v>
      </c>
      <c r="B57" s="1" t="s">
        <v>14</v>
      </c>
      <c r="C57" s="1" t="s">
        <v>20</v>
      </c>
      <c r="D57" s="1" t="s">
        <v>27</v>
      </c>
      <c r="E57" s="1">
        <v>919.04</v>
      </c>
      <c r="F57" s="1">
        <v>10</v>
      </c>
      <c r="G57" s="2">
        <v>0.2</v>
      </c>
      <c r="H57" s="3">
        <v>45468</v>
      </c>
      <c r="I57" s="1">
        <v>257.33</v>
      </c>
      <c r="J57" s="8">
        <f t="shared" si="0"/>
        <v>6666.130000000001</v>
      </c>
    </row>
    <row r="58" spans="1:10" ht="28.8" x14ac:dyDescent="0.3">
      <c r="A58" s="1" t="s">
        <v>22</v>
      </c>
      <c r="B58" s="1" t="s">
        <v>66</v>
      </c>
      <c r="C58" s="1" t="s">
        <v>34</v>
      </c>
      <c r="D58" s="1" t="s">
        <v>12</v>
      </c>
      <c r="E58" s="1">
        <v>973.26</v>
      </c>
      <c r="F58" s="1">
        <v>11</v>
      </c>
      <c r="G58" s="2">
        <v>0</v>
      </c>
      <c r="H58" s="3">
        <v>45470</v>
      </c>
      <c r="I58" s="1">
        <v>389.3</v>
      </c>
      <c r="J58" s="8">
        <f t="shared" si="0"/>
        <v>7928.71</v>
      </c>
    </row>
    <row r="59" spans="1:10" ht="28.8" x14ac:dyDescent="0.3">
      <c r="A59" s="1" t="s">
        <v>41</v>
      </c>
      <c r="B59" s="1" t="s">
        <v>64</v>
      </c>
      <c r="C59" s="1" t="s">
        <v>24</v>
      </c>
      <c r="D59" s="1" t="s">
        <v>21</v>
      </c>
      <c r="E59" s="1">
        <v>741.61</v>
      </c>
      <c r="F59" s="1">
        <v>1</v>
      </c>
      <c r="G59" s="2">
        <v>0.2</v>
      </c>
      <c r="H59" s="3">
        <v>45471</v>
      </c>
      <c r="I59" s="1">
        <v>148.32</v>
      </c>
      <c r="J59" s="8">
        <f t="shared" si="0"/>
        <v>5779.05</v>
      </c>
    </row>
    <row r="60" spans="1:10" ht="28.8" x14ac:dyDescent="0.3">
      <c r="A60" s="1" t="s">
        <v>67</v>
      </c>
      <c r="B60" s="1" t="s">
        <v>38</v>
      </c>
      <c r="C60" s="1" t="s">
        <v>24</v>
      </c>
      <c r="D60" s="1" t="s">
        <v>12</v>
      </c>
      <c r="E60" s="1">
        <v>1248.82</v>
      </c>
      <c r="F60" s="1">
        <v>2</v>
      </c>
      <c r="G60" s="2">
        <v>0.1</v>
      </c>
      <c r="H60" s="3">
        <v>45473</v>
      </c>
      <c r="I60" s="1">
        <v>449.58</v>
      </c>
      <c r="J60" s="8">
        <f t="shared" si="0"/>
        <v>8490.18</v>
      </c>
    </row>
    <row r="61" spans="1:10" ht="28.8" x14ac:dyDescent="0.3">
      <c r="A61" s="1" t="s">
        <v>13</v>
      </c>
      <c r="B61" s="1" t="s">
        <v>59</v>
      </c>
      <c r="C61" s="1" t="s">
        <v>11</v>
      </c>
      <c r="D61" s="1" t="s">
        <v>15</v>
      </c>
      <c r="E61" s="1">
        <v>1360.36</v>
      </c>
      <c r="F61" s="1">
        <v>17</v>
      </c>
      <c r="G61" s="2">
        <v>0</v>
      </c>
      <c r="H61" s="3">
        <v>45473</v>
      </c>
      <c r="I61" s="1">
        <v>680.18</v>
      </c>
      <c r="J61" s="8">
        <f t="shared" si="0"/>
        <v>8339</v>
      </c>
    </row>
    <row r="62" spans="1:10" ht="28.8" x14ac:dyDescent="0.3">
      <c r="A62" s="1" t="s">
        <v>57</v>
      </c>
      <c r="B62" s="1" t="s">
        <v>31</v>
      </c>
      <c r="C62" s="1" t="s">
        <v>18</v>
      </c>
      <c r="D62" s="1" t="s">
        <v>12</v>
      </c>
      <c r="E62" s="1">
        <v>1383.3</v>
      </c>
      <c r="F62" s="1">
        <v>8</v>
      </c>
      <c r="G62" s="2">
        <v>0.1</v>
      </c>
      <c r="H62" s="3">
        <v>45478</v>
      </c>
      <c r="I62" s="1">
        <v>497.99</v>
      </c>
      <c r="J62" s="8">
        <f t="shared" si="0"/>
        <v>8740.18</v>
      </c>
    </row>
    <row r="63" spans="1:10" ht="28.8" x14ac:dyDescent="0.3">
      <c r="A63" s="1" t="s">
        <v>35</v>
      </c>
      <c r="B63" s="1" t="s">
        <v>55</v>
      </c>
      <c r="C63" s="1" t="s">
        <v>34</v>
      </c>
      <c r="D63" s="1" t="s">
        <v>39</v>
      </c>
      <c r="E63" s="1">
        <v>488.99</v>
      </c>
      <c r="F63" s="1">
        <v>9</v>
      </c>
      <c r="G63" s="2">
        <v>0</v>
      </c>
      <c r="H63" s="3">
        <v>45479</v>
      </c>
      <c r="I63" s="1">
        <v>220.05</v>
      </c>
      <c r="J63" s="8">
        <f t="shared" si="0"/>
        <v>4259.22</v>
      </c>
    </row>
    <row r="64" spans="1:10" ht="28.8" x14ac:dyDescent="0.3">
      <c r="A64" s="1" t="s">
        <v>30</v>
      </c>
      <c r="B64" s="1" t="s">
        <v>31</v>
      </c>
      <c r="C64" s="1" t="s">
        <v>18</v>
      </c>
      <c r="D64" s="1" t="s">
        <v>27</v>
      </c>
      <c r="E64" s="1">
        <v>933.71</v>
      </c>
      <c r="F64" s="1">
        <v>17</v>
      </c>
      <c r="G64" s="2">
        <v>0.1</v>
      </c>
      <c r="H64" s="3">
        <v>45481</v>
      </c>
      <c r="I64" s="1">
        <v>294.12</v>
      </c>
      <c r="J64" s="8">
        <f t="shared" si="0"/>
        <v>9371.81</v>
      </c>
    </row>
    <row r="65" spans="1:10" ht="28.8" x14ac:dyDescent="0.3">
      <c r="A65" s="1" t="s">
        <v>67</v>
      </c>
      <c r="B65" s="1" t="s">
        <v>10</v>
      </c>
      <c r="C65" s="1" t="s">
        <v>11</v>
      </c>
      <c r="D65" s="1" t="s">
        <v>21</v>
      </c>
      <c r="E65" s="1">
        <v>1005.53</v>
      </c>
      <c r="F65" s="1">
        <v>17</v>
      </c>
      <c r="G65" s="2">
        <v>0.2</v>
      </c>
      <c r="H65" s="3">
        <v>45481</v>
      </c>
      <c r="I65" s="1">
        <v>201.11</v>
      </c>
      <c r="J65" s="8">
        <f t="shared" si="0"/>
        <v>8490.18</v>
      </c>
    </row>
    <row r="66" spans="1:10" ht="28.8" x14ac:dyDescent="0.3">
      <c r="A66" s="1" t="s">
        <v>41</v>
      </c>
      <c r="B66" s="1" t="s">
        <v>61</v>
      </c>
      <c r="C66" s="1" t="s">
        <v>20</v>
      </c>
      <c r="D66" s="1" t="s">
        <v>21</v>
      </c>
      <c r="E66" s="1">
        <v>1100.0999999999999</v>
      </c>
      <c r="F66" s="1">
        <v>5</v>
      </c>
      <c r="G66" s="2">
        <v>0.05</v>
      </c>
      <c r="H66" s="3">
        <v>45482</v>
      </c>
      <c r="I66" s="1">
        <v>261.27</v>
      </c>
      <c r="J66" s="8">
        <f t="shared" si="0"/>
        <v>5779.05</v>
      </c>
    </row>
    <row r="67" spans="1:10" ht="28.8" x14ac:dyDescent="0.3">
      <c r="A67" s="1" t="s">
        <v>67</v>
      </c>
      <c r="B67" s="1" t="s">
        <v>23</v>
      </c>
      <c r="C67" s="1" t="s">
        <v>24</v>
      </c>
      <c r="D67" s="1" t="s">
        <v>27</v>
      </c>
      <c r="E67" s="1">
        <v>1034.7</v>
      </c>
      <c r="F67" s="1">
        <v>15</v>
      </c>
      <c r="G67" s="2">
        <v>0.15</v>
      </c>
      <c r="H67" s="3">
        <v>45487</v>
      </c>
      <c r="I67" s="1">
        <v>307.82</v>
      </c>
      <c r="J67" s="8">
        <f t="shared" ref="J67:J130" si="1">SUMIFS($E:$E,$A:$A,A67)</f>
        <v>8490.18</v>
      </c>
    </row>
    <row r="68" spans="1:10" ht="28.8" x14ac:dyDescent="0.3">
      <c r="A68" s="1" t="s">
        <v>65</v>
      </c>
      <c r="B68" s="1" t="s">
        <v>31</v>
      </c>
      <c r="C68" s="1" t="s">
        <v>20</v>
      </c>
      <c r="D68" s="1" t="s">
        <v>12</v>
      </c>
      <c r="E68" s="1">
        <v>876.44</v>
      </c>
      <c r="F68" s="1">
        <v>12</v>
      </c>
      <c r="G68" s="2">
        <v>0.05</v>
      </c>
      <c r="H68" s="3">
        <v>45488</v>
      </c>
      <c r="I68" s="1">
        <v>333.05</v>
      </c>
      <c r="J68" s="8">
        <f t="shared" si="1"/>
        <v>6481.43</v>
      </c>
    </row>
    <row r="69" spans="1:10" ht="28.8" x14ac:dyDescent="0.3">
      <c r="A69" s="1" t="s">
        <v>68</v>
      </c>
      <c r="B69" s="1" t="s">
        <v>55</v>
      </c>
      <c r="C69" s="1" t="s">
        <v>11</v>
      </c>
      <c r="D69" s="1" t="s">
        <v>27</v>
      </c>
      <c r="E69" s="1">
        <v>1371.34</v>
      </c>
      <c r="F69" s="1">
        <v>5</v>
      </c>
      <c r="G69" s="2">
        <v>0.05</v>
      </c>
      <c r="H69" s="3">
        <v>45488</v>
      </c>
      <c r="I69" s="1">
        <v>455.97</v>
      </c>
      <c r="J69" s="8">
        <f t="shared" si="1"/>
        <v>4413.71</v>
      </c>
    </row>
    <row r="70" spans="1:10" ht="28.8" x14ac:dyDescent="0.3">
      <c r="A70" s="1" t="s">
        <v>57</v>
      </c>
      <c r="B70" s="1" t="s">
        <v>47</v>
      </c>
      <c r="C70" s="1" t="s">
        <v>24</v>
      </c>
      <c r="D70" s="1" t="s">
        <v>21</v>
      </c>
      <c r="E70" s="1">
        <v>1020.26</v>
      </c>
      <c r="F70" s="1">
        <v>11</v>
      </c>
      <c r="G70" s="2">
        <v>0.05</v>
      </c>
      <c r="H70" s="3">
        <v>45494</v>
      </c>
      <c r="I70" s="1">
        <v>242.31</v>
      </c>
      <c r="J70" s="8">
        <f t="shared" si="1"/>
        <v>8740.18</v>
      </c>
    </row>
    <row r="71" spans="1:10" ht="28.8" x14ac:dyDescent="0.3">
      <c r="A71" s="1" t="s">
        <v>44</v>
      </c>
      <c r="B71" s="1" t="s">
        <v>10</v>
      </c>
      <c r="C71" s="1" t="s">
        <v>34</v>
      </c>
      <c r="D71" s="1" t="s">
        <v>39</v>
      </c>
      <c r="E71" s="1">
        <v>804.81</v>
      </c>
      <c r="F71" s="1">
        <v>1</v>
      </c>
      <c r="G71" s="2">
        <v>0.05</v>
      </c>
      <c r="H71" s="3">
        <v>45502</v>
      </c>
      <c r="I71" s="1">
        <v>344.06</v>
      </c>
      <c r="J71" s="8">
        <f t="shared" si="1"/>
        <v>9760.7999999999993</v>
      </c>
    </row>
    <row r="72" spans="1:10" ht="28.8" x14ac:dyDescent="0.3">
      <c r="A72" s="1" t="s">
        <v>22</v>
      </c>
      <c r="B72" s="1" t="s">
        <v>55</v>
      </c>
      <c r="C72" s="1" t="s">
        <v>34</v>
      </c>
      <c r="D72" s="1" t="s">
        <v>21</v>
      </c>
      <c r="E72" s="1">
        <v>608.66</v>
      </c>
      <c r="F72" s="1">
        <v>1</v>
      </c>
      <c r="G72" s="2">
        <v>0.05</v>
      </c>
      <c r="H72" s="3">
        <v>45503</v>
      </c>
      <c r="I72" s="1">
        <v>144.56</v>
      </c>
      <c r="J72" s="8">
        <f t="shared" si="1"/>
        <v>7928.71</v>
      </c>
    </row>
    <row r="73" spans="1:10" ht="28.8" x14ac:dyDescent="0.3">
      <c r="A73" s="1" t="s">
        <v>68</v>
      </c>
      <c r="B73" s="1" t="s">
        <v>69</v>
      </c>
      <c r="C73" s="1" t="s">
        <v>20</v>
      </c>
      <c r="D73" s="1" t="s">
        <v>39</v>
      </c>
      <c r="E73" s="1">
        <v>981.2</v>
      </c>
      <c r="F73" s="1">
        <v>19</v>
      </c>
      <c r="G73" s="2">
        <v>0</v>
      </c>
      <c r="H73" s="3">
        <v>45504</v>
      </c>
      <c r="I73" s="1">
        <v>441.54</v>
      </c>
      <c r="J73" s="8">
        <f t="shared" si="1"/>
        <v>4413.71</v>
      </c>
    </row>
    <row r="74" spans="1:10" ht="28.8" x14ac:dyDescent="0.3">
      <c r="A74" s="1" t="s">
        <v>70</v>
      </c>
      <c r="B74" s="1" t="s">
        <v>55</v>
      </c>
      <c r="C74" s="1" t="s">
        <v>18</v>
      </c>
      <c r="D74" s="1" t="s">
        <v>21</v>
      </c>
      <c r="E74" s="1">
        <v>539.77</v>
      </c>
      <c r="F74" s="1">
        <v>10</v>
      </c>
      <c r="G74" s="2">
        <v>0.15</v>
      </c>
      <c r="H74" s="3">
        <v>45509</v>
      </c>
      <c r="I74" s="1">
        <v>114.7</v>
      </c>
      <c r="J74" s="8">
        <f t="shared" si="1"/>
        <v>7583.1299999999992</v>
      </c>
    </row>
    <row r="75" spans="1:10" ht="28.8" x14ac:dyDescent="0.3">
      <c r="A75" s="1" t="s">
        <v>13</v>
      </c>
      <c r="B75" s="1" t="s">
        <v>71</v>
      </c>
      <c r="C75" s="1" t="s">
        <v>20</v>
      </c>
      <c r="D75" s="1" t="s">
        <v>12</v>
      </c>
      <c r="E75" s="1">
        <v>804.45</v>
      </c>
      <c r="F75" s="1">
        <v>5</v>
      </c>
      <c r="G75" s="2">
        <v>0.2</v>
      </c>
      <c r="H75" s="3">
        <v>45509</v>
      </c>
      <c r="I75" s="1">
        <v>257.42</v>
      </c>
      <c r="J75" s="8">
        <f t="shared" si="1"/>
        <v>8339</v>
      </c>
    </row>
    <row r="76" spans="1:10" ht="28.8" x14ac:dyDescent="0.3">
      <c r="A76" s="1" t="s">
        <v>70</v>
      </c>
      <c r="B76" s="1" t="s">
        <v>38</v>
      </c>
      <c r="C76" s="1" t="s">
        <v>11</v>
      </c>
      <c r="D76" s="1" t="s">
        <v>21</v>
      </c>
      <c r="E76" s="1">
        <v>1526.6</v>
      </c>
      <c r="F76" s="1">
        <v>13</v>
      </c>
      <c r="G76" s="2">
        <v>0.2</v>
      </c>
      <c r="H76" s="3">
        <v>45512</v>
      </c>
      <c r="I76" s="1">
        <v>305.32</v>
      </c>
      <c r="J76" s="8">
        <f t="shared" si="1"/>
        <v>7583.1299999999992</v>
      </c>
    </row>
    <row r="77" spans="1:10" ht="28.8" x14ac:dyDescent="0.3">
      <c r="A77" s="1" t="s">
        <v>13</v>
      </c>
      <c r="B77" s="1" t="s">
        <v>29</v>
      </c>
      <c r="C77" s="1" t="s">
        <v>11</v>
      </c>
      <c r="D77" s="1" t="s">
        <v>21</v>
      </c>
      <c r="E77" s="1">
        <v>1215.26</v>
      </c>
      <c r="F77" s="1">
        <v>5</v>
      </c>
      <c r="G77" s="2">
        <v>0.15</v>
      </c>
      <c r="H77" s="3">
        <v>45513</v>
      </c>
      <c r="I77" s="1">
        <v>258.24</v>
      </c>
      <c r="J77" s="8">
        <f t="shared" si="1"/>
        <v>8339</v>
      </c>
    </row>
    <row r="78" spans="1:10" ht="28.8" x14ac:dyDescent="0.3">
      <c r="A78" s="1" t="s">
        <v>19</v>
      </c>
      <c r="B78" s="1" t="s">
        <v>53</v>
      </c>
      <c r="C78" s="1" t="s">
        <v>34</v>
      </c>
      <c r="D78" s="1" t="s">
        <v>27</v>
      </c>
      <c r="E78" s="1">
        <v>1261.3399999999999</v>
      </c>
      <c r="F78" s="1">
        <v>3</v>
      </c>
      <c r="G78" s="2">
        <v>0</v>
      </c>
      <c r="H78" s="3">
        <v>45519</v>
      </c>
      <c r="I78" s="1">
        <v>441.47</v>
      </c>
      <c r="J78" s="8">
        <f t="shared" si="1"/>
        <v>6666.130000000001</v>
      </c>
    </row>
    <row r="79" spans="1:10" ht="28.8" x14ac:dyDescent="0.3">
      <c r="A79" s="1" t="s">
        <v>72</v>
      </c>
      <c r="B79" s="1" t="s">
        <v>45</v>
      </c>
      <c r="C79" s="1" t="s">
        <v>24</v>
      </c>
      <c r="D79" s="1" t="s">
        <v>27</v>
      </c>
      <c r="E79" s="1">
        <v>518.07000000000005</v>
      </c>
      <c r="F79" s="1">
        <v>7</v>
      </c>
      <c r="G79" s="2">
        <v>0.05</v>
      </c>
      <c r="H79" s="3">
        <v>45522</v>
      </c>
      <c r="I79" s="1">
        <v>172.26</v>
      </c>
      <c r="J79" s="8">
        <f t="shared" si="1"/>
        <v>7813.59</v>
      </c>
    </row>
    <row r="80" spans="1:10" ht="28.8" x14ac:dyDescent="0.3">
      <c r="A80" s="1" t="s">
        <v>30</v>
      </c>
      <c r="B80" s="1" t="s">
        <v>29</v>
      </c>
      <c r="C80" s="1" t="s">
        <v>11</v>
      </c>
      <c r="D80" s="1" t="s">
        <v>39</v>
      </c>
      <c r="E80" s="1">
        <v>1111.3399999999999</v>
      </c>
      <c r="F80" s="1">
        <v>1</v>
      </c>
      <c r="G80" s="2">
        <v>0</v>
      </c>
      <c r="H80" s="3">
        <v>45523</v>
      </c>
      <c r="I80" s="1">
        <v>500.1</v>
      </c>
      <c r="J80" s="8">
        <f t="shared" si="1"/>
        <v>9371.81</v>
      </c>
    </row>
    <row r="81" spans="1:10" ht="28.8" x14ac:dyDescent="0.3">
      <c r="A81" s="1" t="s">
        <v>22</v>
      </c>
      <c r="B81" s="1" t="s">
        <v>31</v>
      </c>
      <c r="C81" s="1" t="s">
        <v>18</v>
      </c>
      <c r="D81" s="1" t="s">
        <v>15</v>
      </c>
      <c r="E81" s="1">
        <v>1291.47</v>
      </c>
      <c r="F81" s="1">
        <v>18</v>
      </c>
      <c r="G81" s="2">
        <v>0.1</v>
      </c>
      <c r="H81" s="3">
        <v>45526</v>
      </c>
      <c r="I81" s="1">
        <v>581.16</v>
      </c>
      <c r="J81" s="8">
        <f t="shared" si="1"/>
        <v>7928.71</v>
      </c>
    </row>
    <row r="82" spans="1:10" ht="28.8" x14ac:dyDescent="0.3">
      <c r="A82" s="1" t="s">
        <v>25</v>
      </c>
      <c r="B82" s="1" t="s">
        <v>55</v>
      </c>
      <c r="C82" s="1" t="s">
        <v>24</v>
      </c>
      <c r="D82" s="1" t="s">
        <v>12</v>
      </c>
      <c r="E82" s="1">
        <v>679.71</v>
      </c>
      <c r="F82" s="1">
        <v>19</v>
      </c>
      <c r="G82" s="2">
        <v>0</v>
      </c>
      <c r="H82" s="3">
        <v>45534</v>
      </c>
      <c r="I82" s="1">
        <v>271.88</v>
      </c>
      <c r="J82" s="8">
        <f t="shared" si="1"/>
        <v>9941.8799999999992</v>
      </c>
    </row>
    <row r="83" spans="1:10" ht="28.8" x14ac:dyDescent="0.3">
      <c r="A83" s="1" t="s">
        <v>68</v>
      </c>
      <c r="B83" s="1" t="s">
        <v>33</v>
      </c>
      <c r="C83" s="1" t="s">
        <v>18</v>
      </c>
      <c r="D83" s="1" t="s">
        <v>27</v>
      </c>
      <c r="E83" s="1">
        <v>1143.69</v>
      </c>
      <c r="F83" s="1">
        <v>17</v>
      </c>
      <c r="G83" s="2">
        <v>0</v>
      </c>
      <c r="H83" s="3">
        <v>45534</v>
      </c>
      <c r="I83" s="1">
        <v>400.29</v>
      </c>
      <c r="J83" s="8">
        <f t="shared" si="1"/>
        <v>4413.71</v>
      </c>
    </row>
    <row r="84" spans="1:10" ht="28.8" x14ac:dyDescent="0.3">
      <c r="A84" s="1" t="s">
        <v>52</v>
      </c>
      <c r="B84" s="1" t="s">
        <v>50</v>
      </c>
      <c r="C84" s="1" t="s">
        <v>34</v>
      </c>
      <c r="D84" s="1" t="s">
        <v>21</v>
      </c>
      <c r="E84" s="1">
        <v>790.08</v>
      </c>
      <c r="F84" s="1">
        <v>7</v>
      </c>
      <c r="G84" s="2">
        <v>0.1</v>
      </c>
      <c r="H84" s="3">
        <v>45536</v>
      </c>
      <c r="I84" s="1">
        <v>177.77</v>
      </c>
      <c r="J84" s="8">
        <f t="shared" si="1"/>
        <v>10293.870000000001</v>
      </c>
    </row>
    <row r="85" spans="1:10" x14ac:dyDescent="0.3">
      <c r="A85" s="1" t="s">
        <v>19</v>
      </c>
      <c r="B85" s="1" t="s">
        <v>48</v>
      </c>
      <c r="C85" s="1" t="s">
        <v>34</v>
      </c>
      <c r="D85" s="1" t="s">
        <v>12</v>
      </c>
      <c r="E85" s="1">
        <v>1070.68</v>
      </c>
      <c r="F85" s="1">
        <v>7</v>
      </c>
      <c r="G85" s="2">
        <v>0.05</v>
      </c>
      <c r="H85" s="3">
        <v>45536</v>
      </c>
      <c r="I85" s="1">
        <v>406.86</v>
      </c>
      <c r="J85" s="8">
        <f t="shared" si="1"/>
        <v>6666.130000000001</v>
      </c>
    </row>
    <row r="86" spans="1:10" ht="28.8" x14ac:dyDescent="0.3">
      <c r="A86" s="1" t="s">
        <v>58</v>
      </c>
      <c r="B86" s="1" t="s">
        <v>36</v>
      </c>
      <c r="C86" s="1" t="s">
        <v>11</v>
      </c>
      <c r="D86" s="1" t="s">
        <v>15</v>
      </c>
      <c r="E86" s="1">
        <v>1168.8900000000001</v>
      </c>
      <c r="F86" s="1">
        <v>4</v>
      </c>
      <c r="G86" s="2">
        <v>0.1</v>
      </c>
      <c r="H86" s="3">
        <v>45544</v>
      </c>
      <c r="I86" s="1">
        <v>526</v>
      </c>
      <c r="J86" s="8">
        <f t="shared" si="1"/>
        <v>11611.060000000001</v>
      </c>
    </row>
    <row r="87" spans="1:10" ht="28.8" x14ac:dyDescent="0.3">
      <c r="A87" s="1" t="s">
        <v>67</v>
      </c>
      <c r="B87" s="1" t="s">
        <v>10</v>
      </c>
      <c r="C87" s="1" t="s">
        <v>20</v>
      </c>
      <c r="D87" s="1" t="s">
        <v>21</v>
      </c>
      <c r="E87" s="1">
        <v>1335.87</v>
      </c>
      <c r="F87" s="1">
        <v>17</v>
      </c>
      <c r="G87" s="2">
        <v>0</v>
      </c>
      <c r="H87" s="3">
        <v>45544</v>
      </c>
      <c r="I87" s="1">
        <v>333.97</v>
      </c>
      <c r="J87" s="8">
        <f t="shared" si="1"/>
        <v>8490.18</v>
      </c>
    </row>
    <row r="88" spans="1:10" ht="28.8" x14ac:dyDescent="0.3">
      <c r="A88" s="1" t="s">
        <v>40</v>
      </c>
      <c r="B88" s="1" t="s">
        <v>55</v>
      </c>
      <c r="C88" s="1" t="s">
        <v>18</v>
      </c>
      <c r="D88" s="1" t="s">
        <v>27</v>
      </c>
      <c r="E88" s="1">
        <v>873.7</v>
      </c>
      <c r="F88" s="1">
        <v>9</v>
      </c>
      <c r="G88" s="2">
        <v>0</v>
      </c>
      <c r="H88" s="3">
        <v>45546</v>
      </c>
      <c r="I88" s="1">
        <v>305.8</v>
      </c>
      <c r="J88" s="8">
        <f t="shared" si="1"/>
        <v>5913.68</v>
      </c>
    </row>
    <row r="89" spans="1:10" ht="28.8" x14ac:dyDescent="0.3">
      <c r="A89" s="1" t="s">
        <v>72</v>
      </c>
      <c r="B89" s="1" t="s">
        <v>64</v>
      </c>
      <c r="C89" s="1" t="s">
        <v>11</v>
      </c>
      <c r="D89" s="1" t="s">
        <v>39</v>
      </c>
      <c r="E89" s="1">
        <v>1443.98</v>
      </c>
      <c r="F89" s="1">
        <v>19</v>
      </c>
      <c r="G89" s="2">
        <v>0</v>
      </c>
      <c r="H89" s="3">
        <v>45547</v>
      </c>
      <c r="I89" s="1">
        <v>649.79</v>
      </c>
      <c r="J89" s="8">
        <f t="shared" si="1"/>
        <v>7813.59</v>
      </c>
    </row>
    <row r="90" spans="1:10" ht="28.8" x14ac:dyDescent="0.3">
      <c r="A90" s="1" t="s">
        <v>40</v>
      </c>
      <c r="B90" s="1" t="s">
        <v>23</v>
      </c>
      <c r="C90" s="1" t="s">
        <v>18</v>
      </c>
      <c r="D90" s="1" t="s">
        <v>39</v>
      </c>
      <c r="E90" s="1">
        <v>1154.33</v>
      </c>
      <c r="F90" s="1">
        <v>11</v>
      </c>
      <c r="G90" s="2">
        <v>0.15</v>
      </c>
      <c r="H90" s="3">
        <v>45549</v>
      </c>
      <c r="I90" s="1">
        <v>441.53</v>
      </c>
      <c r="J90" s="8">
        <f t="shared" si="1"/>
        <v>5913.68</v>
      </c>
    </row>
    <row r="91" spans="1:10" ht="28.8" x14ac:dyDescent="0.3">
      <c r="A91" s="1" t="s">
        <v>49</v>
      </c>
      <c r="B91" s="1" t="s">
        <v>50</v>
      </c>
      <c r="C91" s="1" t="s">
        <v>20</v>
      </c>
      <c r="D91" s="1" t="s">
        <v>12</v>
      </c>
      <c r="E91" s="1">
        <v>1264.49</v>
      </c>
      <c r="F91" s="1">
        <v>16</v>
      </c>
      <c r="G91" s="2">
        <v>0.05</v>
      </c>
      <c r="H91" s="3">
        <v>45549</v>
      </c>
      <c r="I91" s="1">
        <v>480.51</v>
      </c>
      <c r="J91" s="8">
        <f t="shared" si="1"/>
        <v>4418.2800000000007</v>
      </c>
    </row>
    <row r="92" spans="1:10" ht="28.8" x14ac:dyDescent="0.3">
      <c r="A92" s="1" t="s">
        <v>25</v>
      </c>
      <c r="B92" s="1" t="s">
        <v>66</v>
      </c>
      <c r="C92" s="1" t="s">
        <v>11</v>
      </c>
      <c r="D92" s="1" t="s">
        <v>27</v>
      </c>
      <c r="E92" s="1">
        <v>1101.55</v>
      </c>
      <c r="F92" s="1">
        <v>4</v>
      </c>
      <c r="G92" s="2">
        <v>0.1</v>
      </c>
      <c r="H92" s="3">
        <v>45551</v>
      </c>
      <c r="I92" s="1">
        <v>346.99</v>
      </c>
      <c r="J92" s="8">
        <f t="shared" si="1"/>
        <v>9941.8799999999992</v>
      </c>
    </row>
    <row r="93" spans="1:10" ht="28.8" x14ac:dyDescent="0.3">
      <c r="A93" s="1" t="s">
        <v>73</v>
      </c>
      <c r="B93" s="1" t="s">
        <v>14</v>
      </c>
      <c r="C93" s="1" t="s">
        <v>20</v>
      </c>
      <c r="D93" s="1" t="s">
        <v>27</v>
      </c>
      <c r="E93" s="1">
        <v>727.73</v>
      </c>
      <c r="F93" s="1">
        <v>1</v>
      </c>
      <c r="G93" s="2">
        <v>0.1</v>
      </c>
      <c r="H93" s="3">
        <v>45552</v>
      </c>
      <c r="I93" s="1">
        <v>229.23</v>
      </c>
      <c r="J93" s="8">
        <f t="shared" si="1"/>
        <v>4162.4400000000005</v>
      </c>
    </row>
    <row r="94" spans="1:10" ht="28.8" x14ac:dyDescent="0.3">
      <c r="A94" s="1" t="s">
        <v>74</v>
      </c>
      <c r="B94" s="1" t="s">
        <v>38</v>
      </c>
      <c r="C94" s="1" t="s">
        <v>18</v>
      </c>
      <c r="D94" s="1" t="s">
        <v>39</v>
      </c>
      <c r="E94" s="1">
        <v>875.41</v>
      </c>
      <c r="F94" s="1">
        <v>13</v>
      </c>
      <c r="G94" s="2">
        <v>0.15</v>
      </c>
      <c r="H94" s="3">
        <v>45552</v>
      </c>
      <c r="I94" s="1">
        <v>334.84</v>
      </c>
      <c r="J94" s="8">
        <f t="shared" si="1"/>
        <v>3906.04</v>
      </c>
    </row>
    <row r="95" spans="1:10" ht="28.8" x14ac:dyDescent="0.3">
      <c r="A95" s="1" t="s">
        <v>67</v>
      </c>
      <c r="B95" s="1" t="s">
        <v>23</v>
      </c>
      <c r="C95" s="1" t="s">
        <v>11</v>
      </c>
      <c r="D95" s="1" t="s">
        <v>21</v>
      </c>
      <c r="E95" s="1">
        <v>1158.94</v>
      </c>
      <c r="F95" s="1">
        <v>19</v>
      </c>
      <c r="G95" s="2">
        <v>0.2</v>
      </c>
      <c r="H95" s="3">
        <v>45553</v>
      </c>
      <c r="I95" s="1">
        <v>231.79</v>
      </c>
      <c r="J95" s="8">
        <f t="shared" si="1"/>
        <v>8490.18</v>
      </c>
    </row>
    <row r="96" spans="1:10" ht="28.8" x14ac:dyDescent="0.3">
      <c r="A96" s="1" t="s">
        <v>75</v>
      </c>
      <c r="B96" s="1" t="s">
        <v>47</v>
      </c>
      <c r="C96" s="1" t="s">
        <v>20</v>
      </c>
      <c r="D96" s="1" t="s">
        <v>12</v>
      </c>
      <c r="E96" s="1">
        <v>966.3</v>
      </c>
      <c r="F96" s="1">
        <v>2</v>
      </c>
      <c r="G96" s="2">
        <v>0.15</v>
      </c>
      <c r="H96" s="3">
        <v>45557</v>
      </c>
      <c r="I96" s="1">
        <v>328.54</v>
      </c>
      <c r="J96" s="8">
        <f t="shared" si="1"/>
        <v>4951.8899999999994</v>
      </c>
    </row>
    <row r="97" spans="1:10" ht="28.8" x14ac:dyDescent="0.3">
      <c r="A97" s="1" t="s">
        <v>68</v>
      </c>
      <c r="B97" s="1" t="s">
        <v>17</v>
      </c>
      <c r="C97" s="1" t="s">
        <v>20</v>
      </c>
      <c r="D97" s="1" t="s">
        <v>12</v>
      </c>
      <c r="E97" s="1">
        <v>917.48</v>
      </c>
      <c r="F97" s="1">
        <v>6</v>
      </c>
      <c r="G97" s="2">
        <v>0</v>
      </c>
      <c r="H97" s="3">
        <v>45558</v>
      </c>
      <c r="I97" s="1">
        <v>366.99</v>
      </c>
      <c r="J97" s="8">
        <f t="shared" si="1"/>
        <v>4413.71</v>
      </c>
    </row>
    <row r="98" spans="1:10" ht="28.8" x14ac:dyDescent="0.3">
      <c r="A98" s="1" t="s">
        <v>41</v>
      </c>
      <c r="B98" s="1" t="s">
        <v>61</v>
      </c>
      <c r="C98" s="1" t="s">
        <v>11</v>
      </c>
      <c r="D98" s="1" t="s">
        <v>27</v>
      </c>
      <c r="E98" s="1">
        <v>1172.97</v>
      </c>
      <c r="F98" s="1">
        <v>7</v>
      </c>
      <c r="G98" s="2">
        <v>0.15</v>
      </c>
      <c r="H98" s="3">
        <v>45559</v>
      </c>
      <c r="I98" s="1">
        <v>348.96</v>
      </c>
      <c r="J98" s="8">
        <f t="shared" si="1"/>
        <v>5779.05</v>
      </c>
    </row>
    <row r="99" spans="1:10" ht="28.8" x14ac:dyDescent="0.3">
      <c r="A99" s="1" t="s">
        <v>57</v>
      </c>
      <c r="B99" s="1" t="s">
        <v>23</v>
      </c>
      <c r="C99" s="1" t="s">
        <v>24</v>
      </c>
      <c r="D99" s="1" t="s">
        <v>15</v>
      </c>
      <c r="E99" s="1">
        <v>1205.82</v>
      </c>
      <c r="F99" s="1">
        <v>11</v>
      </c>
      <c r="G99" s="2">
        <v>0.1</v>
      </c>
      <c r="H99" s="3">
        <v>45559</v>
      </c>
      <c r="I99" s="1">
        <v>542.62</v>
      </c>
      <c r="J99" s="8">
        <f t="shared" si="1"/>
        <v>8740.18</v>
      </c>
    </row>
    <row r="100" spans="1:10" ht="28.8" x14ac:dyDescent="0.3">
      <c r="A100" s="1" t="s">
        <v>16</v>
      </c>
      <c r="B100" s="1" t="s">
        <v>64</v>
      </c>
      <c r="C100" s="1" t="s">
        <v>11</v>
      </c>
      <c r="D100" s="1" t="s">
        <v>39</v>
      </c>
      <c r="E100" s="1">
        <v>826.93</v>
      </c>
      <c r="F100" s="1">
        <v>10</v>
      </c>
      <c r="G100" s="2">
        <v>0.2</v>
      </c>
      <c r="H100" s="3">
        <v>45564</v>
      </c>
      <c r="I100" s="1">
        <v>297.69</v>
      </c>
      <c r="J100" s="8">
        <f t="shared" si="1"/>
        <v>3419.2</v>
      </c>
    </row>
    <row r="101" spans="1:10" ht="28.8" x14ac:dyDescent="0.3">
      <c r="A101" s="1" t="s">
        <v>67</v>
      </c>
      <c r="B101" s="1" t="s">
        <v>23</v>
      </c>
      <c r="C101" s="1" t="s">
        <v>34</v>
      </c>
      <c r="D101" s="1" t="s">
        <v>15</v>
      </c>
      <c r="E101" s="1">
        <v>902.19</v>
      </c>
      <c r="F101" s="1">
        <v>12</v>
      </c>
      <c r="G101" s="2">
        <v>0</v>
      </c>
      <c r="H101" s="3">
        <v>45564</v>
      </c>
      <c r="I101" s="1">
        <v>451.1</v>
      </c>
      <c r="J101" s="8">
        <f t="shared" si="1"/>
        <v>8490.18</v>
      </c>
    </row>
    <row r="102" spans="1:10" ht="28.8" x14ac:dyDescent="0.3">
      <c r="A102" s="1" t="s">
        <v>74</v>
      </c>
      <c r="B102" s="1" t="s">
        <v>38</v>
      </c>
      <c r="C102" s="1" t="s">
        <v>24</v>
      </c>
      <c r="D102" s="1" t="s">
        <v>12</v>
      </c>
      <c r="E102" s="1">
        <v>585.97</v>
      </c>
      <c r="F102" s="1">
        <v>17</v>
      </c>
      <c r="G102" s="2">
        <v>0.1</v>
      </c>
      <c r="H102" s="3">
        <v>45565</v>
      </c>
      <c r="I102" s="1">
        <v>210.95</v>
      </c>
      <c r="J102" s="8">
        <f t="shared" si="1"/>
        <v>3906.04</v>
      </c>
    </row>
    <row r="103" spans="1:10" ht="28.8" x14ac:dyDescent="0.3">
      <c r="A103" s="1" t="s">
        <v>60</v>
      </c>
      <c r="B103" s="1" t="s">
        <v>26</v>
      </c>
      <c r="C103" s="1" t="s">
        <v>24</v>
      </c>
      <c r="D103" s="1" t="s">
        <v>15</v>
      </c>
      <c r="E103" s="1">
        <v>990.19</v>
      </c>
      <c r="F103" s="1">
        <v>8</v>
      </c>
      <c r="G103" s="2">
        <v>0.1</v>
      </c>
      <c r="H103" s="3">
        <v>45565</v>
      </c>
      <c r="I103" s="1">
        <v>445.59</v>
      </c>
      <c r="J103" s="8">
        <f t="shared" si="1"/>
        <v>3369.17</v>
      </c>
    </row>
    <row r="104" spans="1:10" ht="28.8" x14ac:dyDescent="0.3">
      <c r="A104" s="1" t="s">
        <v>44</v>
      </c>
      <c r="B104" s="1" t="s">
        <v>56</v>
      </c>
      <c r="C104" s="1" t="s">
        <v>34</v>
      </c>
      <c r="D104" s="1" t="s">
        <v>21</v>
      </c>
      <c r="E104" s="1">
        <v>1014.09</v>
      </c>
      <c r="F104" s="1">
        <v>13</v>
      </c>
      <c r="G104" s="2">
        <v>0.2</v>
      </c>
      <c r="H104" s="3">
        <v>45567</v>
      </c>
      <c r="I104" s="1">
        <v>202.82</v>
      </c>
      <c r="J104" s="8">
        <f t="shared" si="1"/>
        <v>9760.7999999999993</v>
      </c>
    </row>
    <row r="105" spans="1:10" ht="28.8" x14ac:dyDescent="0.3">
      <c r="A105" s="1" t="s">
        <v>13</v>
      </c>
      <c r="B105" s="1" t="s">
        <v>48</v>
      </c>
      <c r="C105" s="1" t="s">
        <v>24</v>
      </c>
      <c r="D105" s="1" t="s">
        <v>21</v>
      </c>
      <c r="E105" s="1">
        <v>925.29</v>
      </c>
      <c r="F105" s="1">
        <v>17</v>
      </c>
      <c r="G105" s="2">
        <v>0</v>
      </c>
      <c r="H105" s="3">
        <v>45570</v>
      </c>
      <c r="I105" s="1">
        <v>231.32</v>
      </c>
      <c r="J105" s="8">
        <f t="shared" si="1"/>
        <v>8339</v>
      </c>
    </row>
    <row r="106" spans="1:10" ht="28.8" x14ac:dyDescent="0.3">
      <c r="A106" s="1" t="s">
        <v>54</v>
      </c>
      <c r="B106" s="1" t="s">
        <v>47</v>
      </c>
      <c r="C106" s="1" t="s">
        <v>18</v>
      </c>
      <c r="D106" s="1" t="s">
        <v>27</v>
      </c>
      <c r="E106" s="1">
        <v>1286.54</v>
      </c>
      <c r="F106" s="1">
        <v>8</v>
      </c>
      <c r="G106" s="2">
        <v>0</v>
      </c>
      <c r="H106" s="3">
        <v>45575</v>
      </c>
      <c r="I106" s="1">
        <v>450.29</v>
      </c>
      <c r="J106" s="8">
        <f t="shared" si="1"/>
        <v>6716.52</v>
      </c>
    </row>
    <row r="107" spans="1:10" ht="28.8" x14ac:dyDescent="0.3">
      <c r="A107" s="1" t="s">
        <v>37</v>
      </c>
      <c r="B107" s="1" t="s">
        <v>64</v>
      </c>
      <c r="C107" s="1" t="s">
        <v>20</v>
      </c>
      <c r="D107" s="1" t="s">
        <v>12</v>
      </c>
      <c r="E107" s="1">
        <v>961.62</v>
      </c>
      <c r="F107" s="1">
        <v>8</v>
      </c>
      <c r="G107" s="2">
        <v>0.2</v>
      </c>
      <c r="H107" s="3">
        <v>45577</v>
      </c>
      <c r="I107" s="1">
        <v>307.72000000000003</v>
      </c>
      <c r="J107" s="8">
        <f t="shared" si="1"/>
        <v>6729.8899999999994</v>
      </c>
    </row>
    <row r="108" spans="1:10" ht="28.8" x14ac:dyDescent="0.3">
      <c r="A108" s="1" t="s">
        <v>44</v>
      </c>
      <c r="B108" s="1" t="s">
        <v>23</v>
      </c>
      <c r="C108" s="1" t="s">
        <v>18</v>
      </c>
      <c r="D108" s="1" t="s">
        <v>12</v>
      </c>
      <c r="E108" s="1">
        <v>1081.1400000000001</v>
      </c>
      <c r="F108" s="1">
        <v>19</v>
      </c>
      <c r="G108" s="2">
        <v>0.15</v>
      </c>
      <c r="H108" s="3">
        <v>45577</v>
      </c>
      <c r="I108" s="1">
        <v>367.59</v>
      </c>
      <c r="J108" s="8">
        <f t="shared" si="1"/>
        <v>9760.7999999999993</v>
      </c>
    </row>
    <row r="109" spans="1:10" ht="28.8" x14ac:dyDescent="0.3">
      <c r="A109" s="1" t="s">
        <v>58</v>
      </c>
      <c r="B109" s="1" t="s">
        <v>23</v>
      </c>
      <c r="C109" s="1" t="s">
        <v>11</v>
      </c>
      <c r="D109" s="1" t="s">
        <v>15</v>
      </c>
      <c r="E109" s="1">
        <v>1923.66</v>
      </c>
      <c r="F109" s="1">
        <v>9</v>
      </c>
      <c r="G109" s="2">
        <v>0.2</v>
      </c>
      <c r="H109" s="3">
        <v>45580</v>
      </c>
      <c r="I109" s="1">
        <v>769.46</v>
      </c>
      <c r="J109" s="8">
        <f t="shared" si="1"/>
        <v>11611.060000000001</v>
      </c>
    </row>
    <row r="110" spans="1:10" ht="28.8" x14ac:dyDescent="0.3">
      <c r="A110" s="1" t="s">
        <v>54</v>
      </c>
      <c r="B110" s="1" t="s">
        <v>66</v>
      </c>
      <c r="C110" s="1" t="s">
        <v>34</v>
      </c>
      <c r="D110" s="1" t="s">
        <v>15</v>
      </c>
      <c r="E110" s="1">
        <v>728.71</v>
      </c>
      <c r="F110" s="1">
        <v>14</v>
      </c>
      <c r="G110" s="2">
        <v>0.1</v>
      </c>
      <c r="H110" s="3">
        <v>45581</v>
      </c>
      <c r="I110" s="1">
        <v>327.92</v>
      </c>
      <c r="J110" s="8">
        <f t="shared" si="1"/>
        <v>6716.52</v>
      </c>
    </row>
    <row r="111" spans="1:10" ht="28.8" x14ac:dyDescent="0.3">
      <c r="A111" s="1" t="s">
        <v>9</v>
      </c>
      <c r="B111" s="1" t="s">
        <v>33</v>
      </c>
      <c r="C111" s="1" t="s">
        <v>34</v>
      </c>
      <c r="D111" s="1" t="s">
        <v>15</v>
      </c>
      <c r="E111" s="1">
        <v>1301.8900000000001</v>
      </c>
      <c r="F111" s="1">
        <v>7</v>
      </c>
      <c r="G111" s="2">
        <v>0.15</v>
      </c>
      <c r="H111" s="3">
        <v>45581</v>
      </c>
      <c r="I111" s="1">
        <v>553.29999999999995</v>
      </c>
      <c r="J111" s="8">
        <f t="shared" si="1"/>
        <v>4640.1099999999997</v>
      </c>
    </row>
    <row r="112" spans="1:10" ht="28.8" x14ac:dyDescent="0.3">
      <c r="A112" s="1" t="s">
        <v>70</v>
      </c>
      <c r="B112" s="1" t="s">
        <v>66</v>
      </c>
      <c r="C112" s="1" t="s">
        <v>18</v>
      </c>
      <c r="D112" s="1" t="s">
        <v>12</v>
      </c>
      <c r="E112" s="1">
        <v>980.18</v>
      </c>
      <c r="F112" s="1">
        <v>16</v>
      </c>
      <c r="G112" s="2">
        <v>0.1</v>
      </c>
      <c r="H112" s="3">
        <v>45582</v>
      </c>
      <c r="I112" s="1">
        <v>352.86</v>
      </c>
      <c r="J112" s="8">
        <f t="shared" si="1"/>
        <v>7583.1299999999992</v>
      </c>
    </row>
    <row r="113" spans="1:10" ht="28.8" x14ac:dyDescent="0.3">
      <c r="A113" s="1" t="s">
        <v>74</v>
      </c>
      <c r="B113" s="1" t="s">
        <v>23</v>
      </c>
      <c r="C113" s="1" t="s">
        <v>11</v>
      </c>
      <c r="D113" s="1" t="s">
        <v>15</v>
      </c>
      <c r="E113" s="1">
        <v>697.57</v>
      </c>
      <c r="F113" s="1">
        <v>17</v>
      </c>
      <c r="G113" s="2">
        <v>0.1</v>
      </c>
      <c r="H113" s="3">
        <v>45584</v>
      </c>
      <c r="I113" s="1">
        <v>313.91000000000003</v>
      </c>
      <c r="J113" s="8">
        <f t="shared" si="1"/>
        <v>3906.04</v>
      </c>
    </row>
    <row r="114" spans="1:10" ht="28.8" x14ac:dyDescent="0.3">
      <c r="A114" s="1" t="s">
        <v>46</v>
      </c>
      <c r="B114" s="1" t="s">
        <v>71</v>
      </c>
      <c r="C114" s="1" t="s">
        <v>11</v>
      </c>
      <c r="D114" s="1" t="s">
        <v>27</v>
      </c>
      <c r="E114" s="1">
        <v>1193.6099999999999</v>
      </c>
      <c r="F114" s="1">
        <v>1</v>
      </c>
      <c r="G114" s="2">
        <v>0.15</v>
      </c>
      <c r="H114" s="3">
        <v>45584</v>
      </c>
      <c r="I114" s="1">
        <v>355.1</v>
      </c>
      <c r="J114" s="8">
        <f t="shared" si="1"/>
        <v>2699.75</v>
      </c>
    </row>
    <row r="115" spans="1:10" ht="28.8" x14ac:dyDescent="0.3">
      <c r="A115" s="1" t="s">
        <v>32</v>
      </c>
      <c r="B115" s="1" t="s">
        <v>38</v>
      </c>
      <c r="C115" s="1" t="s">
        <v>20</v>
      </c>
      <c r="D115" s="1" t="s">
        <v>21</v>
      </c>
      <c r="E115" s="1">
        <v>771.02</v>
      </c>
      <c r="F115" s="1">
        <v>1</v>
      </c>
      <c r="G115" s="2">
        <v>0</v>
      </c>
      <c r="H115" s="3">
        <v>45585</v>
      </c>
      <c r="I115" s="1">
        <v>192.76</v>
      </c>
      <c r="J115" s="8">
        <f t="shared" si="1"/>
        <v>6505.2</v>
      </c>
    </row>
    <row r="116" spans="1:10" ht="28.8" x14ac:dyDescent="0.3">
      <c r="A116" s="1" t="s">
        <v>67</v>
      </c>
      <c r="B116" s="1" t="s">
        <v>69</v>
      </c>
      <c r="C116" s="1" t="s">
        <v>24</v>
      </c>
      <c r="D116" s="1" t="s">
        <v>15</v>
      </c>
      <c r="E116" s="1">
        <v>661.09</v>
      </c>
      <c r="F116" s="1">
        <v>1</v>
      </c>
      <c r="G116" s="2">
        <v>0.2</v>
      </c>
      <c r="H116" s="3">
        <v>45593</v>
      </c>
      <c r="I116" s="1">
        <v>264.44</v>
      </c>
      <c r="J116" s="8">
        <f t="shared" si="1"/>
        <v>8490.18</v>
      </c>
    </row>
    <row r="117" spans="1:10" ht="28.8" x14ac:dyDescent="0.3">
      <c r="A117" s="1" t="s">
        <v>13</v>
      </c>
      <c r="B117" s="1" t="s">
        <v>55</v>
      </c>
      <c r="C117" s="1" t="s">
        <v>11</v>
      </c>
      <c r="D117" s="1" t="s">
        <v>21</v>
      </c>
      <c r="E117" s="1">
        <v>688.83</v>
      </c>
      <c r="F117" s="1">
        <v>15</v>
      </c>
      <c r="G117" s="2">
        <v>0</v>
      </c>
      <c r="H117" s="3">
        <v>45595</v>
      </c>
      <c r="I117" s="1">
        <v>172.21</v>
      </c>
      <c r="J117" s="8">
        <f t="shared" si="1"/>
        <v>8339</v>
      </c>
    </row>
    <row r="118" spans="1:10" ht="28.8" x14ac:dyDescent="0.3">
      <c r="A118" s="1" t="s">
        <v>73</v>
      </c>
      <c r="B118" s="1" t="s">
        <v>29</v>
      </c>
      <c r="C118" s="1" t="s">
        <v>34</v>
      </c>
      <c r="D118" s="1" t="s">
        <v>12</v>
      </c>
      <c r="E118" s="1">
        <v>1249.0999999999999</v>
      </c>
      <c r="F118" s="1">
        <v>4</v>
      </c>
      <c r="G118" s="2">
        <v>0.05</v>
      </c>
      <c r="H118" s="3">
        <v>45597</v>
      </c>
      <c r="I118" s="1">
        <v>474.66</v>
      </c>
      <c r="J118" s="8">
        <f t="shared" si="1"/>
        <v>4162.4400000000005</v>
      </c>
    </row>
    <row r="119" spans="1:10" ht="28.8" x14ac:dyDescent="0.3">
      <c r="A119" s="1" t="s">
        <v>44</v>
      </c>
      <c r="B119" s="1" t="s">
        <v>23</v>
      </c>
      <c r="C119" s="1" t="s">
        <v>18</v>
      </c>
      <c r="D119" s="1" t="s">
        <v>39</v>
      </c>
      <c r="E119" s="1">
        <v>1014.22</v>
      </c>
      <c r="F119" s="1">
        <v>14</v>
      </c>
      <c r="G119" s="2">
        <v>0.05</v>
      </c>
      <c r="H119" s="3">
        <v>45599</v>
      </c>
      <c r="I119" s="1">
        <v>433.58</v>
      </c>
      <c r="J119" s="8">
        <f t="shared" si="1"/>
        <v>9760.7999999999993</v>
      </c>
    </row>
    <row r="120" spans="1:10" x14ac:dyDescent="0.3">
      <c r="A120" s="1" t="s">
        <v>54</v>
      </c>
      <c r="B120" s="1" t="s">
        <v>48</v>
      </c>
      <c r="C120" s="1" t="s">
        <v>18</v>
      </c>
      <c r="D120" s="1" t="s">
        <v>12</v>
      </c>
      <c r="E120" s="1">
        <v>1010.58</v>
      </c>
      <c r="F120" s="1">
        <v>2</v>
      </c>
      <c r="G120" s="2">
        <v>0.15</v>
      </c>
      <c r="H120" s="3">
        <v>45605</v>
      </c>
      <c r="I120" s="1">
        <v>343.6</v>
      </c>
      <c r="J120" s="8">
        <f t="shared" si="1"/>
        <v>6716.52</v>
      </c>
    </row>
    <row r="121" spans="1:10" ht="28.8" x14ac:dyDescent="0.3">
      <c r="A121" s="1" t="s">
        <v>30</v>
      </c>
      <c r="B121" s="1" t="s">
        <v>59</v>
      </c>
      <c r="C121" s="1" t="s">
        <v>24</v>
      </c>
      <c r="D121" s="1" t="s">
        <v>27</v>
      </c>
      <c r="E121" s="1">
        <v>957.29</v>
      </c>
      <c r="F121" s="1">
        <v>4</v>
      </c>
      <c r="G121" s="2">
        <v>0.05</v>
      </c>
      <c r="H121" s="3">
        <v>45605</v>
      </c>
      <c r="I121" s="1">
        <v>318.3</v>
      </c>
      <c r="J121" s="8">
        <f t="shared" si="1"/>
        <v>9371.81</v>
      </c>
    </row>
    <row r="122" spans="1:10" ht="28.8" x14ac:dyDescent="0.3">
      <c r="A122" s="1" t="s">
        <v>28</v>
      </c>
      <c r="B122" s="1" t="s">
        <v>45</v>
      </c>
      <c r="C122" s="1" t="s">
        <v>24</v>
      </c>
      <c r="D122" s="1" t="s">
        <v>27</v>
      </c>
      <c r="E122" s="1">
        <v>1077.92</v>
      </c>
      <c r="F122" s="1">
        <v>3</v>
      </c>
      <c r="G122" s="2">
        <v>0.05</v>
      </c>
      <c r="H122" s="3">
        <v>45608</v>
      </c>
      <c r="I122" s="1">
        <v>358.41</v>
      </c>
      <c r="J122" s="8">
        <f t="shared" si="1"/>
        <v>6549.55</v>
      </c>
    </row>
    <row r="123" spans="1:10" ht="28.8" x14ac:dyDescent="0.3">
      <c r="A123" s="1" t="s">
        <v>52</v>
      </c>
      <c r="B123" s="1" t="s">
        <v>50</v>
      </c>
      <c r="C123" s="1" t="s">
        <v>20</v>
      </c>
      <c r="D123" s="1" t="s">
        <v>15</v>
      </c>
      <c r="E123" s="1">
        <v>1163.01</v>
      </c>
      <c r="F123" s="1">
        <v>5</v>
      </c>
      <c r="G123" s="2">
        <v>0</v>
      </c>
      <c r="H123" s="3">
        <v>45611</v>
      </c>
      <c r="I123" s="1">
        <v>581.5</v>
      </c>
      <c r="J123" s="8">
        <f t="shared" si="1"/>
        <v>10293.870000000001</v>
      </c>
    </row>
    <row r="124" spans="1:10" ht="28.8" x14ac:dyDescent="0.3">
      <c r="A124" s="1" t="s">
        <v>54</v>
      </c>
      <c r="B124" s="1" t="s">
        <v>45</v>
      </c>
      <c r="C124" s="1" t="s">
        <v>18</v>
      </c>
      <c r="D124" s="1" t="s">
        <v>39</v>
      </c>
      <c r="E124" s="1">
        <v>1014.56</v>
      </c>
      <c r="F124" s="1">
        <v>10</v>
      </c>
      <c r="G124" s="2">
        <v>0.1</v>
      </c>
      <c r="H124" s="3">
        <v>45612</v>
      </c>
      <c r="I124" s="1">
        <v>410.9</v>
      </c>
      <c r="J124" s="8">
        <f t="shared" si="1"/>
        <v>6716.52</v>
      </c>
    </row>
    <row r="125" spans="1:10" ht="28.8" x14ac:dyDescent="0.3">
      <c r="A125" s="1" t="s">
        <v>9</v>
      </c>
      <c r="B125" s="1" t="s">
        <v>17</v>
      </c>
      <c r="C125" s="1" t="s">
        <v>20</v>
      </c>
      <c r="D125" s="1" t="s">
        <v>21</v>
      </c>
      <c r="E125" s="1">
        <v>718.04</v>
      </c>
      <c r="F125" s="1">
        <v>14</v>
      </c>
      <c r="G125" s="2">
        <v>0</v>
      </c>
      <c r="H125" s="3">
        <v>45613</v>
      </c>
      <c r="I125" s="1">
        <v>179.51</v>
      </c>
      <c r="J125" s="8">
        <f t="shared" si="1"/>
        <v>4640.1099999999997</v>
      </c>
    </row>
    <row r="126" spans="1:10" ht="28.8" x14ac:dyDescent="0.3">
      <c r="A126" s="1" t="s">
        <v>72</v>
      </c>
      <c r="B126" s="1" t="s">
        <v>17</v>
      </c>
      <c r="C126" s="1" t="s">
        <v>34</v>
      </c>
      <c r="D126" s="1" t="s">
        <v>15</v>
      </c>
      <c r="E126" s="1">
        <v>1277.8499999999999</v>
      </c>
      <c r="F126" s="1">
        <v>18</v>
      </c>
      <c r="G126" s="2">
        <v>0.2</v>
      </c>
      <c r="H126" s="3">
        <v>45613</v>
      </c>
      <c r="I126" s="1">
        <v>511.14</v>
      </c>
      <c r="J126" s="8">
        <f t="shared" si="1"/>
        <v>7813.59</v>
      </c>
    </row>
    <row r="127" spans="1:10" ht="28.8" x14ac:dyDescent="0.3">
      <c r="A127" s="1" t="s">
        <v>70</v>
      </c>
      <c r="B127" s="1" t="s">
        <v>23</v>
      </c>
      <c r="C127" s="1" t="s">
        <v>24</v>
      </c>
      <c r="D127" s="1" t="s">
        <v>21</v>
      </c>
      <c r="E127" s="1">
        <v>706.73</v>
      </c>
      <c r="F127" s="1">
        <v>1</v>
      </c>
      <c r="G127" s="2">
        <v>0.15</v>
      </c>
      <c r="H127" s="3">
        <v>45613</v>
      </c>
      <c r="I127" s="1">
        <v>150.18</v>
      </c>
      <c r="J127" s="8">
        <f t="shared" si="1"/>
        <v>7583.1299999999992</v>
      </c>
    </row>
    <row r="128" spans="1:10" ht="28.8" x14ac:dyDescent="0.3">
      <c r="A128" s="1" t="s">
        <v>65</v>
      </c>
      <c r="B128" s="1" t="s">
        <v>50</v>
      </c>
      <c r="C128" s="1" t="s">
        <v>18</v>
      </c>
      <c r="D128" s="1" t="s">
        <v>21</v>
      </c>
      <c r="E128" s="1">
        <v>1410.59</v>
      </c>
      <c r="F128" s="1">
        <v>15</v>
      </c>
      <c r="G128" s="2">
        <v>0</v>
      </c>
      <c r="H128" s="3">
        <v>45615</v>
      </c>
      <c r="I128" s="1">
        <v>352.65</v>
      </c>
      <c r="J128" s="8">
        <f t="shared" si="1"/>
        <v>6481.43</v>
      </c>
    </row>
    <row r="129" spans="1:10" ht="28.8" x14ac:dyDescent="0.3">
      <c r="A129" s="1" t="s">
        <v>32</v>
      </c>
      <c r="B129" s="1" t="s">
        <v>61</v>
      </c>
      <c r="C129" s="1" t="s">
        <v>20</v>
      </c>
      <c r="D129" s="1" t="s">
        <v>27</v>
      </c>
      <c r="E129" s="1">
        <v>1350.33</v>
      </c>
      <c r="F129" s="1">
        <v>10</v>
      </c>
      <c r="G129" s="2">
        <v>0</v>
      </c>
      <c r="H129" s="3">
        <v>45615</v>
      </c>
      <c r="I129" s="1">
        <v>472.62</v>
      </c>
      <c r="J129" s="8">
        <f t="shared" si="1"/>
        <v>6505.2</v>
      </c>
    </row>
    <row r="130" spans="1:10" ht="28.8" x14ac:dyDescent="0.3">
      <c r="A130" s="1" t="s">
        <v>41</v>
      </c>
      <c r="B130" s="1" t="s">
        <v>45</v>
      </c>
      <c r="C130" s="1" t="s">
        <v>18</v>
      </c>
      <c r="D130" s="1" t="s">
        <v>21</v>
      </c>
      <c r="E130" s="1">
        <v>919.18</v>
      </c>
      <c r="F130" s="1">
        <v>4</v>
      </c>
      <c r="G130" s="2">
        <v>0.15</v>
      </c>
      <c r="H130" s="3">
        <v>45615</v>
      </c>
      <c r="I130" s="1">
        <v>195.33</v>
      </c>
      <c r="J130" s="8">
        <f t="shared" si="1"/>
        <v>5779.05</v>
      </c>
    </row>
    <row r="131" spans="1:10" ht="28.8" x14ac:dyDescent="0.3">
      <c r="A131" s="1" t="s">
        <v>74</v>
      </c>
      <c r="B131" s="1" t="s">
        <v>23</v>
      </c>
      <c r="C131" s="1" t="s">
        <v>11</v>
      </c>
      <c r="D131" s="1" t="s">
        <v>21</v>
      </c>
      <c r="E131" s="1">
        <v>258.51</v>
      </c>
      <c r="F131" s="1">
        <v>19</v>
      </c>
      <c r="G131" s="2">
        <v>0</v>
      </c>
      <c r="H131" s="3">
        <v>45616</v>
      </c>
      <c r="I131" s="1">
        <v>64.63</v>
      </c>
      <c r="J131" s="8">
        <f t="shared" ref="J131:J194" si="2">SUMIFS($E:$E,$A:$A,A131)</f>
        <v>3906.04</v>
      </c>
    </row>
    <row r="132" spans="1:10" ht="28.8" x14ac:dyDescent="0.3">
      <c r="A132" s="1" t="s">
        <v>63</v>
      </c>
      <c r="B132" s="1" t="s">
        <v>61</v>
      </c>
      <c r="C132" s="1" t="s">
        <v>18</v>
      </c>
      <c r="D132" s="1" t="s">
        <v>12</v>
      </c>
      <c r="E132" s="1">
        <v>1213.48</v>
      </c>
      <c r="F132" s="1">
        <v>5</v>
      </c>
      <c r="G132" s="2">
        <v>0.05</v>
      </c>
      <c r="H132" s="3">
        <v>45616</v>
      </c>
      <c r="I132" s="1">
        <v>461.12</v>
      </c>
      <c r="J132" s="8">
        <f t="shared" si="2"/>
        <v>3762.2900000000004</v>
      </c>
    </row>
    <row r="133" spans="1:10" ht="28.8" x14ac:dyDescent="0.3">
      <c r="A133" s="1" t="s">
        <v>57</v>
      </c>
      <c r="B133" s="1" t="s">
        <v>38</v>
      </c>
      <c r="C133" s="1" t="s">
        <v>34</v>
      </c>
      <c r="D133" s="1" t="s">
        <v>12</v>
      </c>
      <c r="E133" s="1">
        <v>1150.28</v>
      </c>
      <c r="F133" s="1">
        <v>8</v>
      </c>
      <c r="G133" s="2">
        <v>0.05</v>
      </c>
      <c r="H133" s="3">
        <v>45622</v>
      </c>
      <c r="I133" s="1">
        <v>437.11</v>
      </c>
      <c r="J133" s="8">
        <f t="shared" si="2"/>
        <v>8740.18</v>
      </c>
    </row>
    <row r="134" spans="1:10" ht="28.8" x14ac:dyDescent="0.3">
      <c r="A134" s="1" t="s">
        <v>37</v>
      </c>
      <c r="B134" s="1" t="s">
        <v>71</v>
      </c>
      <c r="C134" s="1" t="s">
        <v>20</v>
      </c>
      <c r="D134" s="1" t="s">
        <v>27</v>
      </c>
      <c r="E134" s="1">
        <v>853.86</v>
      </c>
      <c r="F134" s="1">
        <v>8</v>
      </c>
      <c r="G134" s="2">
        <v>0.1</v>
      </c>
      <c r="H134" s="3">
        <v>45622</v>
      </c>
      <c r="I134" s="1">
        <v>268.97000000000003</v>
      </c>
      <c r="J134" s="8">
        <f t="shared" si="2"/>
        <v>6729.8899999999994</v>
      </c>
    </row>
    <row r="135" spans="1:10" ht="28.8" x14ac:dyDescent="0.3">
      <c r="A135" s="1" t="s">
        <v>75</v>
      </c>
      <c r="B135" s="1" t="s">
        <v>45</v>
      </c>
      <c r="C135" s="1" t="s">
        <v>20</v>
      </c>
      <c r="D135" s="1" t="s">
        <v>21</v>
      </c>
      <c r="E135" s="1">
        <v>1061.04</v>
      </c>
      <c r="F135" s="1">
        <v>1</v>
      </c>
      <c r="G135" s="2">
        <v>0</v>
      </c>
      <c r="H135" s="3">
        <v>45624</v>
      </c>
      <c r="I135" s="1">
        <v>265.26</v>
      </c>
      <c r="J135" s="8">
        <f t="shared" si="2"/>
        <v>4951.8899999999994</v>
      </c>
    </row>
    <row r="136" spans="1:10" ht="28.8" x14ac:dyDescent="0.3">
      <c r="A136" s="1" t="s">
        <v>28</v>
      </c>
      <c r="B136" s="1" t="s">
        <v>43</v>
      </c>
      <c r="C136" s="1" t="s">
        <v>11</v>
      </c>
      <c r="D136" s="1" t="s">
        <v>21</v>
      </c>
      <c r="E136" s="1">
        <v>894.55</v>
      </c>
      <c r="F136" s="1">
        <v>19</v>
      </c>
      <c r="G136" s="2">
        <v>0.2</v>
      </c>
      <c r="H136" s="3">
        <v>45625</v>
      </c>
      <c r="I136" s="1">
        <v>178.91</v>
      </c>
      <c r="J136" s="8">
        <f t="shared" si="2"/>
        <v>6549.55</v>
      </c>
    </row>
    <row r="137" spans="1:10" ht="28.8" x14ac:dyDescent="0.3">
      <c r="A137" s="1" t="s">
        <v>25</v>
      </c>
      <c r="B137" s="1" t="s">
        <v>38</v>
      </c>
      <c r="C137" s="1" t="s">
        <v>24</v>
      </c>
      <c r="D137" s="1" t="s">
        <v>39</v>
      </c>
      <c r="E137" s="1">
        <v>833.91</v>
      </c>
      <c r="F137" s="1">
        <v>3</v>
      </c>
      <c r="G137" s="2">
        <v>0.05</v>
      </c>
      <c r="H137" s="3">
        <v>45626</v>
      </c>
      <c r="I137" s="1">
        <v>356.5</v>
      </c>
      <c r="J137" s="8">
        <f t="shared" si="2"/>
        <v>9941.8799999999992</v>
      </c>
    </row>
    <row r="138" spans="1:10" ht="28.8" x14ac:dyDescent="0.3">
      <c r="A138" s="1" t="s">
        <v>58</v>
      </c>
      <c r="B138" s="1" t="s">
        <v>71</v>
      </c>
      <c r="C138" s="1" t="s">
        <v>11</v>
      </c>
      <c r="D138" s="1" t="s">
        <v>27</v>
      </c>
      <c r="E138" s="1">
        <v>820.19</v>
      </c>
      <c r="F138" s="1">
        <v>4</v>
      </c>
      <c r="G138" s="2">
        <v>0.2</v>
      </c>
      <c r="H138" s="3">
        <v>45630</v>
      </c>
      <c r="I138" s="1">
        <v>229.65</v>
      </c>
      <c r="J138" s="8">
        <f t="shared" si="2"/>
        <v>11611.060000000001</v>
      </c>
    </row>
    <row r="139" spans="1:10" ht="28.8" x14ac:dyDescent="0.3">
      <c r="A139" s="1" t="s">
        <v>58</v>
      </c>
      <c r="B139" s="1" t="s">
        <v>38</v>
      </c>
      <c r="C139" s="1" t="s">
        <v>34</v>
      </c>
      <c r="D139" s="1" t="s">
        <v>21</v>
      </c>
      <c r="E139" s="1">
        <v>511.74</v>
      </c>
      <c r="F139" s="1">
        <v>8</v>
      </c>
      <c r="G139" s="2">
        <v>0.05</v>
      </c>
      <c r="H139" s="3">
        <v>45631</v>
      </c>
      <c r="I139" s="1">
        <v>121.54</v>
      </c>
      <c r="J139" s="8">
        <f t="shared" si="2"/>
        <v>11611.060000000001</v>
      </c>
    </row>
    <row r="140" spans="1:10" ht="28.8" x14ac:dyDescent="0.3">
      <c r="A140" s="1" t="s">
        <v>65</v>
      </c>
      <c r="B140" s="1" t="s">
        <v>61</v>
      </c>
      <c r="C140" s="1" t="s">
        <v>20</v>
      </c>
      <c r="D140" s="1" t="s">
        <v>27</v>
      </c>
      <c r="E140" s="1">
        <v>806.03</v>
      </c>
      <c r="F140" s="1">
        <v>19</v>
      </c>
      <c r="G140" s="2">
        <v>0.05</v>
      </c>
      <c r="H140" s="3">
        <v>45638</v>
      </c>
      <c r="I140" s="1">
        <v>268</v>
      </c>
      <c r="J140" s="8">
        <f t="shared" si="2"/>
        <v>6481.43</v>
      </c>
    </row>
    <row r="141" spans="1:10" ht="28.8" x14ac:dyDescent="0.3">
      <c r="A141" s="1" t="s">
        <v>28</v>
      </c>
      <c r="B141" s="1" t="s">
        <v>26</v>
      </c>
      <c r="C141" s="1" t="s">
        <v>34</v>
      </c>
      <c r="D141" s="1" t="s">
        <v>27</v>
      </c>
      <c r="E141" s="1">
        <v>1432.47</v>
      </c>
      <c r="F141" s="1">
        <v>16</v>
      </c>
      <c r="G141" s="2">
        <v>0.15</v>
      </c>
      <c r="H141" s="3">
        <v>45640</v>
      </c>
      <c r="I141" s="1">
        <v>426.16</v>
      </c>
      <c r="J141" s="8">
        <f t="shared" si="2"/>
        <v>6549.55</v>
      </c>
    </row>
    <row r="142" spans="1:10" ht="28.8" x14ac:dyDescent="0.3">
      <c r="A142" s="1" t="s">
        <v>74</v>
      </c>
      <c r="B142" s="1" t="s">
        <v>29</v>
      </c>
      <c r="C142" s="1" t="s">
        <v>34</v>
      </c>
      <c r="D142" s="1" t="s">
        <v>21</v>
      </c>
      <c r="E142" s="1">
        <v>1488.58</v>
      </c>
      <c r="F142" s="1">
        <v>10</v>
      </c>
      <c r="G142" s="2">
        <v>0.15</v>
      </c>
      <c r="H142" s="3">
        <v>45640</v>
      </c>
      <c r="I142" s="1">
        <v>316.32</v>
      </c>
      <c r="J142" s="8">
        <f t="shared" si="2"/>
        <v>3906.04</v>
      </c>
    </row>
    <row r="143" spans="1:10" ht="28.8" x14ac:dyDescent="0.3">
      <c r="A143" s="1" t="s">
        <v>30</v>
      </c>
      <c r="B143" s="1" t="s">
        <v>66</v>
      </c>
      <c r="C143" s="1" t="s">
        <v>18</v>
      </c>
      <c r="D143" s="1" t="s">
        <v>12</v>
      </c>
      <c r="E143" s="1">
        <v>1231.26</v>
      </c>
      <c r="F143" s="1">
        <v>9</v>
      </c>
      <c r="G143" s="2">
        <v>0</v>
      </c>
      <c r="H143" s="3">
        <v>45646</v>
      </c>
      <c r="I143" s="1">
        <v>492.5</v>
      </c>
      <c r="J143" s="8">
        <f t="shared" si="2"/>
        <v>9371.81</v>
      </c>
    </row>
    <row r="144" spans="1:10" ht="28.8" x14ac:dyDescent="0.3">
      <c r="A144" s="1" t="s">
        <v>30</v>
      </c>
      <c r="B144" s="1" t="s">
        <v>43</v>
      </c>
      <c r="C144" s="1" t="s">
        <v>11</v>
      </c>
      <c r="D144" s="1" t="s">
        <v>21</v>
      </c>
      <c r="E144" s="1">
        <v>1161.67</v>
      </c>
      <c r="F144" s="1">
        <v>19</v>
      </c>
      <c r="G144" s="2">
        <v>0.2</v>
      </c>
      <c r="H144" s="3">
        <v>45647</v>
      </c>
      <c r="I144" s="1">
        <v>232.33</v>
      </c>
      <c r="J144" s="8">
        <f t="shared" si="2"/>
        <v>9371.81</v>
      </c>
    </row>
    <row r="145" spans="1:10" ht="28.8" x14ac:dyDescent="0.3">
      <c r="A145" s="1" t="s">
        <v>49</v>
      </c>
      <c r="B145" s="1" t="s">
        <v>45</v>
      </c>
      <c r="C145" s="1" t="s">
        <v>34</v>
      </c>
      <c r="D145" s="1" t="s">
        <v>39</v>
      </c>
      <c r="E145" s="1">
        <v>388.23</v>
      </c>
      <c r="F145" s="1">
        <v>16</v>
      </c>
      <c r="G145" s="2">
        <v>0.05</v>
      </c>
      <c r="H145" s="3">
        <v>45650</v>
      </c>
      <c r="I145" s="1">
        <v>165.97</v>
      </c>
      <c r="J145" s="8">
        <f t="shared" si="2"/>
        <v>4418.2800000000007</v>
      </c>
    </row>
    <row r="146" spans="1:10" ht="28.8" x14ac:dyDescent="0.3">
      <c r="A146" s="1" t="s">
        <v>72</v>
      </c>
      <c r="B146" s="1" t="s">
        <v>31</v>
      </c>
      <c r="C146" s="1" t="s">
        <v>24</v>
      </c>
      <c r="D146" s="1" t="s">
        <v>15</v>
      </c>
      <c r="E146" s="1">
        <v>1589.42</v>
      </c>
      <c r="F146" s="1">
        <v>6</v>
      </c>
      <c r="G146" s="2">
        <v>0.15</v>
      </c>
      <c r="H146" s="3">
        <v>45651</v>
      </c>
      <c r="I146" s="1">
        <v>675.5</v>
      </c>
      <c r="J146" s="8">
        <f t="shared" si="2"/>
        <v>7813.59</v>
      </c>
    </row>
    <row r="147" spans="1:10" ht="28.8" x14ac:dyDescent="0.3">
      <c r="A147" s="1" t="s">
        <v>28</v>
      </c>
      <c r="B147" s="1" t="s">
        <v>71</v>
      </c>
      <c r="C147" s="1" t="s">
        <v>24</v>
      </c>
      <c r="D147" s="1" t="s">
        <v>15</v>
      </c>
      <c r="E147" s="1">
        <v>336.66</v>
      </c>
      <c r="F147" s="1">
        <v>13</v>
      </c>
      <c r="G147" s="2">
        <v>0.2</v>
      </c>
      <c r="H147" s="3">
        <v>45651</v>
      </c>
      <c r="I147" s="1">
        <v>134.66</v>
      </c>
      <c r="J147" s="8">
        <f t="shared" si="2"/>
        <v>6549.55</v>
      </c>
    </row>
    <row r="148" spans="1:10" ht="28.8" x14ac:dyDescent="0.3">
      <c r="A148" s="1" t="s">
        <v>49</v>
      </c>
      <c r="B148" s="1" t="s">
        <v>23</v>
      </c>
      <c r="C148" s="1" t="s">
        <v>11</v>
      </c>
      <c r="D148" s="1" t="s">
        <v>12</v>
      </c>
      <c r="E148" s="1">
        <v>1353.79</v>
      </c>
      <c r="F148" s="1">
        <v>14</v>
      </c>
      <c r="G148" s="2">
        <v>0.1</v>
      </c>
      <c r="H148" s="3">
        <v>45656</v>
      </c>
      <c r="I148" s="1">
        <v>487.36</v>
      </c>
      <c r="J148" s="8">
        <f t="shared" si="2"/>
        <v>4418.2800000000007</v>
      </c>
    </row>
    <row r="149" spans="1:10" ht="28.8" x14ac:dyDescent="0.3">
      <c r="A149" s="1" t="s">
        <v>63</v>
      </c>
      <c r="B149" s="1" t="s">
        <v>69</v>
      </c>
      <c r="C149" s="1" t="s">
        <v>34</v>
      </c>
      <c r="D149" s="1" t="s">
        <v>15</v>
      </c>
      <c r="E149" s="1">
        <v>662.61</v>
      </c>
      <c r="F149" s="1">
        <v>11</v>
      </c>
      <c r="G149" s="2">
        <v>0.05</v>
      </c>
      <c r="H149" s="3">
        <v>45658</v>
      </c>
      <c r="I149" s="1">
        <v>314.74</v>
      </c>
      <c r="J149" s="8">
        <f t="shared" si="2"/>
        <v>3762.2900000000004</v>
      </c>
    </row>
    <row r="150" spans="1:10" ht="28.8" x14ac:dyDescent="0.3">
      <c r="A150" s="1" t="s">
        <v>52</v>
      </c>
      <c r="B150" s="1" t="s">
        <v>48</v>
      </c>
      <c r="C150" s="1" t="s">
        <v>24</v>
      </c>
      <c r="D150" s="1" t="s">
        <v>39</v>
      </c>
      <c r="E150" s="1">
        <v>309.42</v>
      </c>
      <c r="F150" s="1">
        <v>1</v>
      </c>
      <c r="G150" s="2">
        <v>0.2</v>
      </c>
      <c r="H150" s="3">
        <v>45658</v>
      </c>
      <c r="I150" s="1">
        <v>111.39</v>
      </c>
      <c r="J150" s="8">
        <f t="shared" si="2"/>
        <v>10293.870000000001</v>
      </c>
    </row>
    <row r="151" spans="1:10" ht="28.8" x14ac:dyDescent="0.3">
      <c r="A151" s="1" t="s">
        <v>63</v>
      </c>
      <c r="B151" s="1" t="s">
        <v>29</v>
      </c>
      <c r="C151" s="1" t="s">
        <v>24</v>
      </c>
      <c r="D151" s="1" t="s">
        <v>12</v>
      </c>
      <c r="E151" s="1">
        <v>884.63</v>
      </c>
      <c r="F151" s="1">
        <v>18</v>
      </c>
      <c r="G151" s="2">
        <v>0.1</v>
      </c>
      <c r="H151" s="3">
        <v>45659</v>
      </c>
      <c r="I151" s="1">
        <v>318.47000000000003</v>
      </c>
      <c r="J151" s="8">
        <f t="shared" si="2"/>
        <v>3762.2900000000004</v>
      </c>
    </row>
    <row r="152" spans="1:10" ht="28.8" x14ac:dyDescent="0.3">
      <c r="A152" s="1" t="s">
        <v>52</v>
      </c>
      <c r="B152" s="1" t="s">
        <v>23</v>
      </c>
      <c r="C152" s="1" t="s">
        <v>34</v>
      </c>
      <c r="D152" s="1" t="s">
        <v>39</v>
      </c>
      <c r="E152" s="1">
        <v>745.05</v>
      </c>
      <c r="F152" s="1">
        <v>10</v>
      </c>
      <c r="G152" s="2">
        <v>0.1</v>
      </c>
      <c r="H152" s="3">
        <v>45660</v>
      </c>
      <c r="I152" s="1">
        <v>301.75</v>
      </c>
      <c r="J152" s="8">
        <f t="shared" si="2"/>
        <v>10293.870000000001</v>
      </c>
    </row>
    <row r="153" spans="1:10" ht="28.8" x14ac:dyDescent="0.3">
      <c r="A153" s="1" t="s">
        <v>60</v>
      </c>
      <c r="B153" s="1" t="s">
        <v>17</v>
      </c>
      <c r="C153" s="1" t="s">
        <v>20</v>
      </c>
      <c r="D153" s="1" t="s">
        <v>15</v>
      </c>
      <c r="E153" s="1">
        <v>870.23</v>
      </c>
      <c r="F153" s="1">
        <v>5</v>
      </c>
      <c r="G153" s="2">
        <v>0.05</v>
      </c>
      <c r="H153" s="3">
        <v>45660</v>
      </c>
      <c r="I153" s="1">
        <v>413.36</v>
      </c>
      <c r="J153" s="8">
        <f t="shared" si="2"/>
        <v>3369.17</v>
      </c>
    </row>
    <row r="154" spans="1:10" ht="28.8" x14ac:dyDescent="0.3">
      <c r="A154" s="1" t="s">
        <v>35</v>
      </c>
      <c r="B154" s="1" t="s">
        <v>29</v>
      </c>
      <c r="C154" s="1" t="s">
        <v>11</v>
      </c>
      <c r="D154" s="1" t="s">
        <v>27</v>
      </c>
      <c r="E154" s="1">
        <v>862.19</v>
      </c>
      <c r="F154" s="1">
        <v>18</v>
      </c>
      <c r="G154" s="2">
        <v>0.05</v>
      </c>
      <c r="H154" s="3">
        <v>45663</v>
      </c>
      <c r="I154" s="1">
        <v>286.68</v>
      </c>
      <c r="J154" s="8">
        <f t="shared" si="2"/>
        <v>4259.22</v>
      </c>
    </row>
    <row r="155" spans="1:10" ht="28.8" x14ac:dyDescent="0.3">
      <c r="A155" s="1" t="s">
        <v>73</v>
      </c>
      <c r="B155" s="1" t="s">
        <v>59</v>
      </c>
      <c r="C155" s="1" t="s">
        <v>24</v>
      </c>
      <c r="D155" s="1" t="s">
        <v>15</v>
      </c>
      <c r="E155" s="1">
        <v>1171.18</v>
      </c>
      <c r="F155" s="1">
        <v>19</v>
      </c>
      <c r="G155" s="2">
        <v>0.05</v>
      </c>
      <c r="H155" s="3">
        <v>45667</v>
      </c>
      <c r="I155" s="1">
        <v>556.30999999999995</v>
      </c>
      <c r="J155" s="8">
        <f t="shared" si="2"/>
        <v>4162.4400000000005</v>
      </c>
    </row>
    <row r="156" spans="1:10" ht="28.8" x14ac:dyDescent="0.3">
      <c r="A156" s="1" t="s">
        <v>58</v>
      </c>
      <c r="B156" s="1" t="s">
        <v>14</v>
      </c>
      <c r="C156" s="1" t="s">
        <v>20</v>
      </c>
      <c r="D156" s="1" t="s">
        <v>27</v>
      </c>
      <c r="E156" s="1">
        <v>1054.56</v>
      </c>
      <c r="F156" s="1">
        <v>11</v>
      </c>
      <c r="G156" s="2">
        <v>0.1</v>
      </c>
      <c r="H156" s="3">
        <v>45669</v>
      </c>
      <c r="I156" s="1">
        <v>332.19</v>
      </c>
      <c r="J156" s="8">
        <f t="shared" si="2"/>
        <v>11611.060000000001</v>
      </c>
    </row>
    <row r="157" spans="1:10" ht="28.8" x14ac:dyDescent="0.3">
      <c r="A157" s="1" t="s">
        <v>58</v>
      </c>
      <c r="B157" s="1" t="s">
        <v>23</v>
      </c>
      <c r="C157" s="1" t="s">
        <v>24</v>
      </c>
      <c r="D157" s="1" t="s">
        <v>21</v>
      </c>
      <c r="E157" s="1">
        <v>1681.21</v>
      </c>
      <c r="F157" s="1">
        <v>5</v>
      </c>
      <c r="G157" s="2">
        <v>0.2</v>
      </c>
      <c r="H157" s="3">
        <v>45670</v>
      </c>
      <c r="I157" s="1">
        <v>336.24</v>
      </c>
      <c r="J157" s="8">
        <f t="shared" si="2"/>
        <v>11611.060000000001</v>
      </c>
    </row>
    <row r="158" spans="1:10" ht="28.8" x14ac:dyDescent="0.3">
      <c r="A158" s="1" t="s">
        <v>58</v>
      </c>
      <c r="B158" s="1" t="s">
        <v>36</v>
      </c>
      <c r="C158" s="1" t="s">
        <v>11</v>
      </c>
      <c r="D158" s="1" t="s">
        <v>15</v>
      </c>
      <c r="E158" s="1">
        <v>379.77</v>
      </c>
      <c r="F158" s="1">
        <v>9</v>
      </c>
      <c r="G158" s="2">
        <v>0.05</v>
      </c>
      <c r="H158" s="3">
        <v>45673</v>
      </c>
      <c r="I158" s="1">
        <v>180.39</v>
      </c>
      <c r="J158" s="8">
        <f t="shared" si="2"/>
        <v>11611.060000000001</v>
      </c>
    </row>
    <row r="159" spans="1:10" ht="28.8" x14ac:dyDescent="0.3">
      <c r="A159" s="1" t="s">
        <v>44</v>
      </c>
      <c r="B159" s="1" t="s">
        <v>45</v>
      </c>
      <c r="C159" s="1" t="s">
        <v>34</v>
      </c>
      <c r="D159" s="1" t="s">
        <v>15</v>
      </c>
      <c r="E159" s="1">
        <v>1076.33</v>
      </c>
      <c r="F159" s="1">
        <v>2</v>
      </c>
      <c r="G159" s="2">
        <v>0.1</v>
      </c>
      <c r="H159" s="3">
        <v>45674</v>
      </c>
      <c r="I159" s="1">
        <v>484.35</v>
      </c>
      <c r="J159" s="8">
        <f t="shared" si="2"/>
        <v>9760.7999999999993</v>
      </c>
    </row>
    <row r="160" spans="1:10" ht="28.8" x14ac:dyDescent="0.3">
      <c r="A160" s="1" t="s">
        <v>44</v>
      </c>
      <c r="B160" s="1" t="s">
        <v>31</v>
      </c>
      <c r="C160" s="1" t="s">
        <v>34</v>
      </c>
      <c r="D160" s="1" t="s">
        <v>39</v>
      </c>
      <c r="E160" s="1">
        <v>1250.71</v>
      </c>
      <c r="F160" s="1">
        <v>7</v>
      </c>
      <c r="G160" s="2">
        <v>0</v>
      </c>
      <c r="H160" s="3">
        <v>45674</v>
      </c>
      <c r="I160" s="1">
        <v>562.82000000000005</v>
      </c>
      <c r="J160" s="8">
        <f t="shared" si="2"/>
        <v>9760.7999999999993</v>
      </c>
    </row>
    <row r="161" spans="1:10" ht="28.8" x14ac:dyDescent="0.3">
      <c r="A161" s="1" t="s">
        <v>40</v>
      </c>
      <c r="B161" s="1" t="s">
        <v>17</v>
      </c>
      <c r="C161" s="1" t="s">
        <v>20</v>
      </c>
      <c r="D161" s="1" t="s">
        <v>15</v>
      </c>
      <c r="E161" s="1">
        <v>1118.3399999999999</v>
      </c>
      <c r="F161" s="1">
        <v>6</v>
      </c>
      <c r="G161" s="2">
        <v>0.2</v>
      </c>
      <c r="H161" s="3">
        <v>45674</v>
      </c>
      <c r="I161" s="1">
        <v>447.34</v>
      </c>
      <c r="J161" s="8">
        <f t="shared" si="2"/>
        <v>5913.68</v>
      </c>
    </row>
    <row r="162" spans="1:10" ht="28.8" x14ac:dyDescent="0.3">
      <c r="A162" s="1" t="s">
        <v>70</v>
      </c>
      <c r="B162" s="1" t="s">
        <v>53</v>
      </c>
      <c r="C162" s="1" t="s">
        <v>24</v>
      </c>
      <c r="D162" s="1" t="s">
        <v>15</v>
      </c>
      <c r="E162" s="1">
        <v>1622.62</v>
      </c>
      <c r="F162" s="1">
        <v>12</v>
      </c>
      <c r="G162" s="2">
        <v>0.2</v>
      </c>
      <c r="H162" s="3">
        <v>45677</v>
      </c>
      <c r="I162" s="1">
        <v>649.04999999999995</v>
      </c>
      <c r="J162" s="8">
        <f t="shared" si="2"/>
        <v>7583.1299999999992</v>
      </c>
    </row>
    <row r="163" spans="1:10" x14ac:dyDescent="0.3">
      <c r="A163" s="1" t="s">
        <v>75</v>
      </c>
      <c r="B163" s="1" t="s">
        <v>48</v>
      </c>
      <c r="C163" s="1" t="s">
        <v>24</v>
      </c>
      <c r="D163" s="1" t="s">
        <v>12</v>
      </c>
      <c r="E163" s="1">
        <v>640.64</v>
      </c>
      <c r="F163" s="1">
        <v>11</v>
      </c>
      <c r="G163" s="2">
        <v>0.2</v>
      </c>
      <c r="H163" s="3">
        <v>45678</v>
      </c>
      <c r="I163" s="1">
        <v>205</v>
      </c>
      <c r="J163" s="8">
        <f t="shared" si="2"/>
        <v>4951.8899999999994</v>
      </c>
    </row>
    <row r="164" spans="1:10" ht="28.8" x14ac:dyDescent="0.3">
      <c r="A164" s="1" t="s">
        <v>22</v>
      </c>
      <c r="B164" s="1" t="s">
        <v>43</v>
      </c>
      <c r="C164" s="1" t="s">
        <v>11</v>
      </c>
      <c r="D164" s="1" t="s">
        <v>15</v>
      </c>
      <c r="E164" s="1">
        <v>585.16</v>
      </c>
      <c r="F164" s="1">
        <v>17</v>
      </c>
      <c r="G164" s="2">
        <v>0.1</v>
      </c>
      <c r="H164" s="3">
        <v>45684</v>
      </c>
      <c r="I164" s="1">
        <v>263.32</v>
      </c>
      <c r="J164" s="8">
        <f t="shared" si="2"/>
        <v>7928.71</v>
      </c>
    </row>
    <row r="165" spans="1:10" ht="28.8" x14ac:dyDescent="0.3">
      <c r="A165" s="1" t="s">
        <v>22</v>
      </c>
      <c r="B165" s="1" t="s">
        <v>31</v>
      </c>
      <c r="C165" s="1" t="s">
        <v>18</v>
      </c>
      <c r="D165" s="1" t="s">
        <v>15</v>
      </c>
      <c r="E165" s="1">
        <v>1109.98</v>
      </c>
      <c r="F165" s="1">
        <v>5</v>
      </c>
      <c r="G165" s="2">
        <v>0.2</v>
      </c>
      <c r="H165" s="3">
        <v>45690</v>
      </c>
      <c r="I165" s="1">
        <v>443.99</v>
      </c>
      <c r="J165" s="8">
        <f t="shared" si="2"/>
        <v>7928.71</v>
      </c>
    </row>
    <row r="166" spans="1:10" ht="28.8" x14ac:dyDescent="0.3">
      <c r="A166" s="1" t="s">
        <v>58</v>
      </c>
      <c r="B166" s="1" t="s">
        <v>45</v>
      </c>
      <c r="C166" s="1" t="s">
        <v>18</v>
      </c>
      <c r="D166" s="1" t="s">
        <v>12</v>
      </c>
      <c r="E166" s="1">
        <v>1098.08</v>
      </c>
      <c r="F166" s="1">
        <v>9</v>
      </c>
      <c r="G166" s="2">
        <v>0.1</v>
      </c>
      <c r="H166" s="3">
        <v>45692</v>
      </c>
      <c r="I166" s="1">
        <v>395.31</v>
      </c>
      <c r="J166" s="8">
        <f t="shared" si="2"/>
        <v>11611.060000000001</v>
      </c>
    </row>
    <row r="167" spans="1:10" ht="28.8" x14ac:dyDescent="0.3">
      <c r="A167" s="1" t="s">
        <v>65</v>
      </c>
      <c r="B167" s="1" t="s">
        <v>48</v>
      </c>
      <c r="C167" s="1" t="s">
        <v>11</v>
      </c>
      <c r="D167" s="1" t="s">
        <v>39</v>
      </c>
      <c r="E167" s="1">
        <v>827.25</v>
      </c>
      <c r="F167" s="1">
        <v>7</v>
      </c>
      <c r="G167" s="2">
        <v>0.1</v>
      </c>
      <c r="H167" s="3">
        <v>45693</v>
      </c>
      <c r="I167" s="1">
        <v>335.04</v>
      </c>
      <c r="J167" s="8">
        <f t="shared" si="2"/>
        <v>6481.43</v>
      </c>
    </row>
    <row r="168" spans="1:10" ht="28.8" x14ac:dyDescent="0.3">
      <c r="A168" s="1" t="s">
        <v>70</v>
      </c>
      <c r="B168" s="1" t="s">
        <v>29</v>
      </c>
      <c r="C168" s="1" t="s">
        <v>34</v>
      </c>
      <c r="D168" s="1" t="s">
        <v>15</v>
      </c>
      <c r="E168" s="1">
        <v>741.88</v>
      </c>
      <c r="F168" s="1">
        <v>16</v>
      </c>
      <c r="G168" s="2">
        <v>0.1</v>
      </c>
      <c r="H168" s="3">
        <v>45695</v>
      </c>
      <c r="I168" s="1">
        <v>333.85</v>
      </c>
      <c r="J168" s="8">
        <f t="shared" si="2"/>
        <v>7583.1299999999992</v>
      </c>
    </row>
    <row r="169" spans="1:10" ht="28.8" x14ac:dyDescent="0.3">
      <c r="A169" s="1" t="s">
        <v>72</v>
      </c>
      <c r="B169" s="1" t="s">
        <v>10</v>
      </c>
      <c r="C169" s="1" t="s">
        <v>18</v>
      </c>
      <c r="D169" s="1" t="s">
        <v>39</v>
      </c>
      <c r="E169" s="1">
        <v>1311.26</v>
      </c>
      <c r="F169" s="1">
        <v>6</v>
      </c>
      <c r="G169" s="2">
        <v>0.1</v>
      </c>
      <c r="H169" s="3">
        <v>45698</v>
      </c>
      <c r="I169" s="1">
        <v>531.05999999999995</v>
      </c>
      <c r="J169" s="8">
        <f t="shared" si="2"/>
        <v>7813.59</v>
      </c>
    </row>
    <row r="170" spans="1:10" ht="28.8" x14ac:dyDescent="0.3">
      <c r="A170" s="1" t="s">
        <v>72</v>
      </c>
      <c r="B170" s="1" t="s">
        <v>31</v>
      </c>
      <c r="C170" s="1" t="s">
        <v>20</v>
      </c>
      <c r="D170" s="1" t="s">
        <v>39</v>
      </c>
      <c r="E170" s="1">
        <v>573.32000000000005</v>
      </c>
      <c r="F170" s="1">
        <v>19</v>
      </c>
      <c r="G170" s="2">
        <v>0.1</v>
      </c>
      <c r="H170" s="3">
        <v>45703</v>
      </c>
      <c r="I170" s="1">
        <v>232.19</v>
      </c>
      <c r="J170" s="8">
        <f t="shared" si="2"/>
        <v>7813.59</v>
      </c>
    </row>
    <row r="171" spans="1:10" ht="28.8" x14ac:dyDescent="0.3">
      <c r="A171" s="1" t="s">
        <v>52</v>
      </c>
      <c r="B171" s="1" t="s">
        <v>23</v>
      </c>
      <c r="C171" s="1" t="s">
        <v>11</v>
      </c>
      <c r="D171" s="1" t="s">
        <v>21</v>
      </c>
      <c r="E171" s="1">
        <v>1115.22</v>
      </c>
      <c r="F171" s="1">
        <v>14</v>
      </c>
      <c r="G171" s="2">
        <v>0.2</v>
      </c>
      <c r="H171" s="3">
        <v>45705</v>
      </c>
      <c r="I171" s="1">
        <v>223.04</v>
      </c>
      <c r="J171" s="8">
        <f t="shared" si="2"/>
        <v>10293.870000000001</v>
      </c>
    </row>
    <row r="172" spans="1:10" ht="28.8" x14ac:dyDescent="0.3">
      <c r="A172" s="1" t="s">
        <v>13</v>
      </c>
      <c r="B172" s="1" t="s">
        <v>45</v>
      </c>
      <c r="C172" s="1" t="s">
        <v>24</v>
      </c>
      <c r="D172" s="1" t="s">
        <v>15</v>
      </c>
      <c r="E172" s="1">
        <v>845.84</v>
      </c>
      <c r="F172" s="1">
        <v>4</v>
      </c>
      <c r="G172" s="2">
        <v>0</v>
      </c>
      <c r="H172" s="3">
        <v>45707</v>
      </c>
      <c r="I172" s="1">
        <v>422.92</v>
      </c>
      <c r="J172" s="8">
        <f t="shared" si="2"/>
        <v>8339</v>
      </c>
    </row>
    <row r="173" spans="1:10" ht="28.8" x14ac:dyDescent="0.3">
      <c r="A173" s="1" t="s">
        <v>30</v>
      </c>
      <c r="B173" s="1" t="s">
        <v>55</v>
      </c>
      <c r="C173" s="1" t="s">
        <v>11</v>
      </c>
      <c r="D173" s="1" t="s">
        <v>21</v>
      </c>
      <c r="E173" s="1">
        <v>1029.8</v>
      </c>
      <c r="F173" s="1">
        <v>3</v>
      </c>
      <c r="G173" s="2">
        <v>0</v>
      </c>
      <c r="H173" s="3">
        <v>45708</v>
      </c>
      <c r="I173" s="1">
        <v>257.45</v>
      </c>
      <c r="J173" s="8">
        <f t="shared" si="2"/>
        <v>9371.81</v>
      </c>
    </row>
    <row r="174" spans="1:10" ht="28.8" x14ac:dyDescent="0.3">
      <c r="A174" s="1" t="s">
        <v>32</v>
      </c>
      <c r="B174" s="1" t="s">
        <v>31</v>
      </c>
      <c r="C174" s="1" t="s">
        <v>24</v>
      </c>
      <c r="D174" s="1" t="s">
        <v>12</v>
      </c>
      <c r="E174" s="1">
        <v>1189.83</v>
      </c>
      <c r="F174" s="1">
        <v>2</v>
      </c>
      <c r="G174" s="2">
        <v>0.2</v>
      </c>
      <c r="H174" s="3">
        <v>45709</v>
      </c>
      <c r="I174" s="1">
        <v>380.75</v>
      </c>
      <c r="J174" s="8">
        <f t="shared" si="2"/>
        <v>6505.2</v>
      </c>
    </row>
    <row r="175" spans="1:10" ht="28.8" x14ac:dyDescent="0.3">
      <c r="A175" s="1" t="s">
        <v>67</v>
      </c>
      <c r="B175" s="1" t="s">
        <v>43</v>
      </c>
      <c r="C175" s="1" t="s">
        <v>20</v>
      </c>
      <c r="D175" s="1" t="s">
        <v>12</v>
      </c>
      <c r="E175" s="1">
        <v>704.28</v>
      </c>
      <c r="F175" s="1">
        <v>15</v>
      </c>
      <c r="G175" s="2">
        <v>0.2</v>
      </c>
      <c r="H175" s="3">
        <v>45712</v>
      </c>
      <c r="I175" s="1">
        <v>225.37</v>
      </c>
      <c r="J175" s="8">
        <f t="shared" si="2"/>
        <v>8490.18</v>
      </c>
    </row>
    <row r="176" spans="1:10" ht="28.8" x14ac:dyDescent="0.3">
      <c r="A176" s="1" t="s">
        <v>65</v>
      </c>
      <c r="B176" s="1" t="s">
        <v>47</v>
      </c>
      <c r="C176" s="1" t="s">
        <v>34</v>
      </c>
      <c r="D176" s="1" t="s">
        <v>39</v>
      </c>
      <c r="E176" s="1">
        <v>1618.22</v>
      </c>
      <c r="F176" s="1">
        <v>12</v>
      </c>
      <c r="G176" s="2">
        <v>0.2</v>
      </c>
      <c r="H176" s="3">
        <v>45712</v>
      </c>
      <c r="I176" s="1">
        <v>582.55999999999995</v>
      </c>
      <c r="J176" s="8">
        <f t="shared" si="2"/>
        <v>6481.43</v>
      </c>
    </row>
    <row r="177" spans="1:10" ht="28.8" x14ac:dyDescent="0.3">
      <c r="A177" s="1" t="s">
        <v>73</v>
      </c>
      <c r="B177" s="1" t="s">
        <v>53</v>
      </c>
      <c r="C177" s="1" t="s">
        <v>34</v>
      </c>
      <c r="D177" s="1" t="s">
        <v>12</v>
      </c>
      <c r="E177" s="1">
        <v>1014.43</v>
      </c>
      <c r="F177" s="1">
        <v>2</v>
      </c>
      <c r="G177" s="2">
        <v>0.15</v>
      </c>
      <c r="H177" s="3">
        <v>45713</v>
      </c>
      <c r="I177" s="1">
        <v>344.91</v>
      </c>
      <c r="J177" s="8">
        <f t="shared" si="2"/>
        <v>4162.4400000000005</v>
      </c>
    </row>
    <row r="178" spans="1:10" ht="28.8" x14ac:dyDescent="0.3">
      <c r="A178" s="1" t="s">
        <v>75</v>
      </c>
      <c r="B178" s="1" t="s">
        <v>31</v>
      </c>
      <c r="C178" s="1" t="s">
        <v>34</v>
      </c>
      <c r="D178" s="1" t="s">
        <v>15</v>
      </c>
      <c r="E178" s="1">
        <v>826.97</v>
      </c>
      <c r="F178" s="1">
        <v>18</v>
      </c>
      <c r="G178" s="2">
        <v>0.2</v>
      </c>
      <c r="H178" s="3">
        <v>45715</v>
      </c>
      <c r="I178" s="1">
        <v>330.79</v>
      </c>
      <c r="J178" s="8">
        <f t="shared" si="2"/>
        <v>4951.8899999999994</v>
      </c>
    </row>
    <row r="179" spans="1:10" ht="28.8" x14ac:dyDescent="0.3">
      <c r="A179" s="1" t="s">
        <v>16</v>
      </c>
      <c r="B179" s="1" t="s">
        <v>31</v>
      </c>
      <c r="C179" s="1" t="s">
        <v>34</v>
      </c>
      <c r="D179" s="1" t="s">
        <v>15</v>
      </c>
      <c r="E179" s="1">
        <v>1022.23</v>
      </c>
      <c r="F179" s="1">
        <v>8</v>
      </c>
      <c r="G179" s="2">
        <v>0.1</v>
      </c>
      <c r="H179" s="3">
        <v>45717</v>
      </c>
      <c r="I179" s="1">
        <v>460</v>
      </c>
      <c r="J179" s="8">
        <f t="shared" si="2"/>
        <v>3419.2</v>
      </c>
    </row>
    <row r="180" spans="1:10" ht="28.8" x14ac:dyDescent="0.3">
      <c r="A180" s="1" t="s">
        <v>72</v>
      </c>
      <c r="B180" s="1" t="s">
        <v>29</v>
      </c>
      <c r="C180" s="1" t="s">
        <v>18</v>
      </c>
      <c r="D180" s="1" t="s">
        <v>12</v>
      </c>
      <c r="E180" s="1">
        <v>1099.69</v>
      </c>
      <c r="F180" s="1">
        <v>6</v>
      </c>
      <c r="G180" s="2">
        <v>0</v>
      </c>
      <c r="H180" s="3">
        <v>45718</v>
      </c>
      <c r="I180" s="1">
        <v>439.88</v>
      </c>
      <c r="J180" s="8">
        <f t="shared" si="2"/>
        <v>7813.59</v>
      </c>
    </row>
    <row r="181" spans="1:10" ht="28.8" x14ac:dyDescent="0.3">
      <c r="A181" s="1" t="s">
        <v>52</v>
      </c>
      <c r="B181" s="1" t="s">
        <v>64</v>
      </c>
      <c r="C181" s="1" t="s">
        <v>24</v>
      </c>
      <c r="D181" s="1" t="s">
        <v>12</v>
      </c>
      <c r="E181" s="1">
        <v>710.52</v>
      </c>
      <c r="F181" s="1">
        <v>8</v>
      </c>
      <c r="G181" s="2">
        <v>0.1</v>
      </c>
      <c r="H181" s="3">
        <v>45721</v>
      </c>
      <c r="I181" s="1">
        <v>255.79</v>
      </c>
      <c r="J181" s="8">
        <f t="shared" si="2"/>
        <v>10293.870000000001</v>
      </c>
    </row>
    <row r="182" spans="1:10" ht="28.8" x14ac:dyDescent="0.3">
      <c r="A182" s="1" t="s">
        <v>52</v>
      </c>
      <c r="B182" s="1" t="s">
        <v>59</v>
      </c>
      <c r="C182" s="1" t="s">
        <v>24</v>
      </c>
      <c r="D182" s="1" t="s">
        <v>12</v>
      </c>
      <c r="E182" s="1">
        <v>499.18</v>
      </c>
      <c r="F182" s="1">
        <v>15</v>
      </c>
      <c r="G182" s="2">
        <v>0.2</v>
      </c>
      <c r="H182" s="3">
        <v>45724</v>
      </c>
      <c r="I182" s="1">
        <v>159.74</v>
      </c>
      <c r="J182" s="8">
        <f t="shared" si="2"/>
        <v>10293.870000000001</v>
      </c>
    </row>
    <row r="183" spans="1:10" ht="28.8" x14ac:dyDescent="0.3">
      <c r="A183" s="1" t="s">
        <v>37</v>
      </c>
      <c r="B183" s="1" t="s">
        <v>38</v>
      </c>
      <c r="C183" s="1" t="s">
        <v>20</v>
      </c>
      <c r="D183" s="1" t="s">
        <v>12</v>
      </c>
      <c r="E183" s="1">
        <v>1064.19</v>
      </c>
      <c r="F183" s="1">
        <v>18</v>
      </c>
      <c r="G183" s="2">
        <v>0.05</v>
      </c>
      <c r="H183" s="3">
        <v>45725</v>
      </c>
      <c r="I183" s="1">
        <v>404.39</v>
      </c>
      <c r="J183" s="8">
        <f t="shared" si="2"/>
        <v>6729.8899999999994</v>
      </c>
    </row>
    <row r="184" spans="1:10" ht="28.8" x14ac:dyDescent="0.3">
      <c r="A184" s="1" t="s">
        <v>67</v>
      </c>
      <c r="B184" s="1" t="s">
        <v>38</v>
      </c>
      <c r="C184" s="1" t="s">
        <v>18</v>
      </c>
      <c r="D184" s="1" t="s">
        <v>39</v>
      </c>
      <c r="E184" s="1">
        <v>438.76</v>
      </c>
      <c r="F184" s="1">
        <v>18</v>
      </c>
      <c r="G184" s="2">
        <v>0.05</v>
      </c>
      <c r="H184" s="3">
        <v>45726</v>
      </c>
      <c r="I184" s="1">
        <v>187.57</v>
      </c>
      <c r="J184" s="8">
        <f t="shared" si="2"/>
        <v>8490.18</v>
      </c>
    </row>
    <row r="185" spans="1:10" ht="28.8" x14ac:dyDescent="0.3">
      <c r="A185" s="1" t="s">
        <v>41</v>
      </c>
      <c r="B185" s="1" t="s">
        <v>55</v>
      </c>
      <c r="C185" s="1" t="s">
        <v>11</v>
      </c>
      <c r="D185" s="1" t="s">
        <v>15</v>
      </c>
      <c r="E185" s="1">
        <v>864.98</v>
      </c>
      <c r="F185" s="1">
        <v>2</v>
      </c>
      <c r="G185" s="2">
        <v>0.05</v>
      </c>
      <c r="H185" s="3">
        <v>45727</v>
      </c>
      <c r="I185" s="1">
        <v>410.87</v>
      </c>
      <c r="J185" s="8">
        <f t="shared" si="2"/>
        <v>5779.05</v>
      </c>
    </row>
    <row r="186" spans="1:10" ht="28.8" x14ac:dyDescent="0.3">
      <c r="A186" s="1" t="s">
        <v>57</v>
      </c>
      <c r="B186" s="1" t="s">
        <v>55</v>
      </c>
      <c r="C186" s="1" t="s">
        <v>11</v>
      </c>
      <c r="D186" s="1" t="s">
        <v>27</v>
      </c>
      <c r="E186" s="1">
        <v>984.93</v>
      </c>
      <c r="F186" s="1">
        <v>14</v>
      </c>
      <c r="G186" s="2">
        <v>0.2</v>
      </c>
      <c r="H186" s="3">
        <v>45733</v>
      </c>
      <c r="I186" s="1">
        <v>275.77999999999997</v>
      </c>
      <c r="J186" s="8">
        <f t="shared" si="2"/>
        <v>8740.18</v>
      </c>
    </row>
    <row r="187" spans="1:10" ht="28.8" x14ac:dyDescent="0.3">
      <c r="A187" s="1" t="s">
        <v>25</v>
      </c>
      <c r="B187" s="1" t="s">
        <v>55</v>
      </c>
      <c r="C187" s="1" t="s">
        <v>11</v>
      </c>
      <c r="D187" s="1" t="s">
        <v>15</v>
      </c>
      <c r="E187" s="1">
        <v>1493.49</v>
      </c>
      <c r="F187" s="1">
        <v>18</v>
      </c>
      <c r="G187" s="2">
        <v>0</v>
      </c>
      <c r="H187" s="3">
        <v>45734</v>
      </c>
      <c r="I187" s="1">
        <v>746.74</v>
      </c>
      <c r="J187" s="8">
        <f t="shared" si="2"/>
        <v>9941.8799999999992</v>
      </c>
    </row>
    <row r="188" spans="1:10" ht="28.8" x14ac:dyDescent="0.3">
      <c r="A188" s="1" t="s">
        <v>32</v>
      </c>
      <c r="B188" s="1" t="s">
        <v>53</v>
      </c>
      <c r="C188" s="1" t="s">
        <v>20</v>
      </c>
      <c r="D188" s="1" t="s">
        <v>15</v>
      </c>
      <c r="E188" s="1">
        <v>689.43</v>
      </c>
      <c r="F188" s="1">
        <v>9</v>
      </c>
      <c r="G188" s="2">
        <v>0.1</v>
      </c>
      <c r="H188" s="3">
        <v>45736</v>
      </c>
      <c r="I188" s="1">
        <v>310.24</v>
      </c>
      <c r="J188" s="8">
        <f t="shared" si="2"/>
        <v>6505.2</v>
      </c>
    </row>
    <row r="189" spans="1:10" ht="28.8" x14ac:dyDescent="0.3">
      <c r="A189" s="1" t="s">
        <v>40</v>
      </c>
      <c r="B189" s="1" t="s">
        <v>59</v>
      </c>
      <c r="C189" s="1" t="s">
        <v>20</v>
      </c>
      <c r="D189" s="1" t="s">
        <v>15</v>
      </c>
      <c r="E189" s="1">
        <v>682.24</v>
      </c>
      <c r="F189" s="1">
        <v>1</v>
      </c>
      <c r="G189" s="2">
        <v>0</v>
      </c>
      <c r="H189" s="3">
        <v>45738</v>
      </c>
      <c r="I189" s="1">
        <v>341.12</v>
      </c>
      <c r="J189" s="8">
        <f t="shared" si="2"/>
        <v>5913.68</v>
      </c>
    </row>
    <row r="190" spans="1:10" ht="28.8" x14ac:dyDescent="0.3">
      <c r="A190" s="1" t="s">
        <v>41</v>
      </c>
      <c r="B190" s="1" t="s">
        <v>26</v>
      </c>
      <c r="C190" s="1" t="s">
        <v>24</v>
      </c>
      <c r="D190" s="1" t="s">
        <v>21</v>
      </c>
      <c r="E190" s="1">
        <v>458.54</v>
      </c>
      <c r="F190" s="1">
        <v>15</v>
      </c>
      <c r="G190" s="2">
        <v>0.2</v>
      </c>
      <c r="H190" s="3">
        <v>45741</v>
      </c>
      <c r="I190" s="1">
        <v>91.71</v>
      </c>
      <c r="J190" s="8">
        <f t="shared" si="2"/>
        <v>5779.05</v>
      </c>
    </row>
    <row r="191" spans="1:10" ht="28.8" x14ac:dyDescent="0.3">
      <c r="A191" s="1" t="s">
        <v>32</v>
      </c>
      <c r="B191" s="1" t="s">
        <v>26</v>
      </c>
      <c r="C191" s="1" t="s">
        <v>20</v>
      </c>
      <c r="D191" s="1" t="s">
        <v>27</v>
      </c>
      <c r="E191" s="1">
        <v>1184.25</v>
      </c>
      <c r="F191" s="1">
        <v>11</v>
      </c>
      <c r="G191" s="2">
        <v>0.2</v>
      </c>
      <c r="H191" s="3">
        <v>45742</v>
      </c>
      <c r="I191" s="1">
        <v>331.59</v>
      </c>
      <c r="J191" s="8">
        <f t="shared" si="2"/>
        <v>6505.2</v>
      </c>
    </row>
    <row r="192" spans="1:10" ht="28.8" x14ac:dyDescent="0.3">
      <c r="A192" s="1" t="s">
        <v>25</v>
      </c>
      <c r="B192" s="1" t="s">
        <v>10</v>
      </c>
      <c r="C192" s="1" t="s">
        <v>20</v>
      </c>
      <c r="D192" s="1" t="s">
        <v>15</v>
      </c>
      <c r="E192" s="1">
        <v>762.14</v>
      </c>
      <c r="F192" s="1">
        <v>9</v>
      </c>
      <c r="G192" s="2">
        <v>0</v>
      </c>
      <c r="H192" s="3">
        <v>45743</v>
      </c>
      <c r="I192" s="1">
        <v>381.07</v>
      </c>
      <c r="J192" s="8">
        <f t="shared" si="2"/>
        <v>9941.8799999999992</v>
      </c>
    </row>
    <row r="193" spans="1:10" ht="28.8" x14ac:dyDescent="0.3">
      <c r="A193" s="1" t="s">
        <v>22</v>
      </c>
      <c r="B193" s="1" t="s">
        <v>53</v>
      </c>
      <c r="C193" s="1" t="s">
        <v>24</v>
      </c>
      <c r="D193" s="1" t="s">
        <v>12</v>
      </c>
      <c r="E193" s="1">
        <v>750.71</v>
      </c>
      <c r="F193" s="1">
        <v>10</v>
      </c>
      <c r="G193" s="2">
        <v>0.15</v>
      </c>
      <c r="H193" s="3">
        <v>45743</v>
      </c>
      <c r="I193" s="1">
        <v>255.24</v>
      </c>
      <c r="J193" s="8">
        <f t="shared" si="2"/>
        <v>7928.71</v>
      </c>
    </row>
    <row r="194" spans="1:10" ht="28.8" x14ac:dyDescent="0.3">
      <c r="A194" s="1" t="s">
        <v>75</v>
      </c>
      <c r="B194" s="1" t="s">
        <v>71</v>
      </c>
      <c r="C194" s="1" t="s">
        <v>34</v>
      </c>
      <c r="D194" s="1" t="s">
        <v>15</v>
      </c>
      <c r="E194" s="1">
        <v>1456.94</v>
      </c>
      <c r="F194" s="1">
        <v>14</v>
      </c>
      <c r="G194" s="2">
        <v>0.05</v>
      </c>
      <c r="H194" s="3">
        <v>45745</v>
      </c>
      <c r="I194" s="1">
        <v>692.05</v>
      </c>
      <c r="J194" s="8">
        <f t="shared" si="2"/>
        <v>4951.8899999999994</v>
      </c>
    </row>
    <row r="195" spans="1:10" ht="28.8" x14ac:dyDescent="0.3">
      <c r="A195" s="1" t="s">
        <v>44</v>
      </c>
      <c r="B195" s="1" t="s">
        <v>61</v>
      </c>
      <c r="C195" s="1" t="s">
        <v>18</v>
      </c>
      <c r="D195" s="1" t="s">
        <v>27</v>
      </c>
      <c r="E195" s="1">
        <v>1093.3800000000001</v>
      </c>
      <c r="F195" s="1">
        <v>17</v>
      </c>
      <c r="G195" s="2">
        <v>0.1</v>
      </c>
      <c r="H195" s="3">
        <v>45745</v>
      </c>
      <c r="I195" s="1">
        <v>344.41</v>
      </c>
      <c r="J195" s="8">
        <f t="shared" ref="J195:J201" si="3">SUMIFS($E:$E,$A:$A,A195)</f>
        <v>9760.7999999999993</v>
      </c>
    </row>
    <row r="196" spans="1:10" ht="28.8" x14ac:dyDescent="0.3">
      <c r="A196" s="1" t="s">
        <v>37</v>
      </c>
      <c r="B196" s="1" t="s">
        <v>43</v>
      </c>
      <c r="C196" s="1" t="s">
        <v>11</v>
      </c>
      <c r="D196" s="1" t="s">
        <v>15</v>
      </c>
      <c r="E196" s="1">
        <v>934.27</v>
      </c>
      <c r="F196" s="1">
        <v>8</v>
      </c>
      <c r="G196" s="2">
        <v>0.15</v>
      </c>
      <c r="H196" s="3">
        <v>45746</v>
      </c>
      <c r="I196" s="1">
        <v>397.06</v>
      </c>
      <c r="J196" s="8">
        <f t="shared" si="3"/>
        <v>6729.8899999999994</v>
      </c>
    </row>
    <row r="197" spans="1:10" ht="28.8" x14ac:dyDescent="0.3">
      <c r="A197" s="1" t="s">
        <v>70</v>
      </c>
      <c r="B197" s="1" t="s">
        <v>36</v>
      </c>
      <c r="C197" s="1" t="s">
        <v>34</v>
      </c>
      <c r="D197" s="1" t="s">
        <v>15</v>
      </c>
      <c r="E197" s="1">
        <v>1465.35</v>
      </c>
      <c r="F197" s="1">
        <v>8</v>
      </c>
      <c r="G197" s="2">
        <v>0.2</v>
      </c>
      <c r="H197" s="3">
        <v>45746</v>
      </c>
      <c r="I197" s="1">
        <v>586.14</v>
      </c>
      <c r="J197" s="8">
        <f t="shared" si="3"/>
        <v>7583.1299999999992</v>
      </c>
    </row>
    <row r="198" spans="1:10" ht="28.8" x14ac:dyDescent="0.3">
      <c r="A198" s="1" t="s">
        <v>52</v>
      </c>
      <c r="B198" s="1" t="s">
        <v>14</v>
      </c>
      <c r="C198" s="1" t="s">
        <v>20</v>
      </c>
      <c r="D198" s="1" t="s">
        <v>39</v>
      </c>
      <c r="E198" s="1">
        <v>740.8</v>
      </c>
      <c r="F198" s="1">
        <v>3</v>
      </c>
      <c r="G198" s="2">
        <v>0</v>
      </c>
      <c r="H198" s="3">
        <v>45749</v>
      </c>
      <c r="I198" s="1">
        <v>333.36</v>
      </c>
      <c r="J198" s="8">
        <f t="shared" si="3"/>
        <v>10293.870000000001</v>
      </c>
    </row>
    <row r="199" spans="1:10" ht="28.8" x14ac:dyDescent="0.3">
      <c r="A199" s="1" t="s">
        <v>58</v>
      </c>
      <c r="B199" s="1" t="s">
        <v>43</v>
      </c>
      <c r="C199" s="1" t="s">
        <v>11</v>
      </c>
      <c r="D199" s="1" t="s">
        <v>39</v>
      </c>
      <c r="E199" s="1">
        <v>545.44000000000005</v>
      </c>
      <c r="F199" s="1">
        <v>17</v>
      </c>
      <c r="G199" s="2">
        <v>0</v>
      </c>
      <c r="H199" s="3">
        <v>45752</v>
      </c>
      <c r="I199" s="1">
        <v>245.45</v>
      </c>
      <c r="J199" s="8">
        <f t="shared" si="3"/>
        <v>11611.060000000001</v>
      </c>
    </row>
    <row r="200" spans="1:10" ht="28.8" x14ac:dyDescent="0.3">
      <c r="A200" s="1" t="s">
        <v>35</v>
      </c>
      <c r="B200" s="1" t="s">
        <v>36</v>
      </c>
      <c r="C200" s="1" t="s">
        <v>18</v>
      </c>
      <c r="D200" s="1" t="s">
        <v>12</v>
      </c>
      <c r="E200" s="1">
        <v>997.61</v>
      </c>
      <c r="F200" s="1">
        <v>8</v>
      </c>
      <c r="G200" s="2">
        <v>0.05</v>
      </c>
      <c r="H200" s="3">
        <v>45752</v>
      </c>
      <c r="I200" s="1">
        <v>379.09</v>
      </c>
      <c r="J200" s="8">
        <f t="shared" si="3"/>
        <v>4259.22</v>
      </c>
    </row>
    <row r="201" spans="1:10" ht="28.8" x14ac:dyDescent="0.3">
      <c r="A201" s="1" t="s">
        <v>60</v>
      </c>
      <c r="B201" s="1" t="s">
        <v>36</v>
      </c>
      <c r="C201" s="1" t="s">
        <v>20</v>
      </c>
      <c r="D201" s="1" t="s">
        <v>15</v>
      </c>
      <c r="E201" s="1">
        <v>928.32</v>
      </c>
      <c r="F201" s="1">
        <v>2</v>
      </c>
      <c r="G201" s="2">
        <v>0.05</v>
      </c>
      <c r="H201" s="3">
        <v>45754</v>
      </c>
      <c r="I201" s="1">
        <v>440.95</v>
      </c>
      <c r="J201" s="8">
        <f t="shared" si="3"/>
        <v>3369.17</v>
      </c>
    </row>
  </sheetData>
  <conditionalFormatting sqref="B1:B201">
    <cfRule type="top10" dxfId="34" priority="1" rank="10"/>
    <cfRule type="top10" dxfId="33" priority="3" rank="10"/>
    <cfRule type="top10" dxfId="32" priority="5" rank="10"/>
  </conditionalFormatting>
  <conditionalFormatting sqref="B2:B201">
    <cfRule type="top10" dxfId="31" priority="4" rank="10"/>
  </conditionalFormatting>
  <conditionalFormatting sqref="C3:C8">
    <cfRule type="top10" dxfId="30" priority="2" percent="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25C1-8586-4C8B-A0D3-BE8E927A11DF}">
  <dimension ref="A1:N201"/>
  <sheetViews>
    <sheetView workbookViewId="0">
      <selection activeCell="N9" sqref="N9"/>
    </sheetView>
  </sheetViews>
  <sheetFormatPr defaultRowHeight="14.4" x14ac:dyDescent="0.3"/>
  <cols>
    <col min="1" max="1" width="14.33203125" customWidth="1"/>
    <col min="2" max="2" width="16.109375" customWidth="1"/>
    <col min="3" max="3" width="13.88671875" customWidth="1"/>
    <col min="4" max="4" width="16.44140625" customWidth="1"/>
    <col min="5" max="5" width="12.109375" customWidth="1"/>
    <col min="6" max="6" width="12.33203125" customWidth="1"/>
    <col min="7" max="7" width="12.77734375" customWidth="1"/>
    <col min="8" max="8" width="13.44140625" customWidth="1"/>
    <col min="9" max="9" width="11.88671875" customWidth="1"/>
    <col min="14" max="14" width="20.21875" bestFit="1" customWidth="1"/>
  </cols>
  <sheetData>
    <row r="1" spans="1:14" ht="28.8" x14ac:dyDescent="0.3">
      <c r="A1" s="13" t="s">
        <v>0</v>
      </c>
      <c r="B1" s="13" t="s">
        <v>1</v>
      </c>
      <c r="C1" s="13" t="s">
        <v>2</v>
      </c>
      <c r="D1" s="13" t="s">
        <v>3</v>
      </c>
      <c r="E1" s="13" t="s">
        <v>4</v>
      </c>
      <c r="F1" s="13" t="s">
        <v>5</v>
      </c>
      <c r="G1" s="14" t="s">
        <v>6</v>
      </c>
      <c r="H1" s="15" t="s">
        <v>7</v>
      </c>
      <c r="I1" s="13" t="s">
        <v>8</v>
      </c>
    </row>
    <row r="2" spans="1:14" ht="28.8" x14ac:dyDescent="0.3">
      <c r="A2" s="1" t="s">
        <v>9</v>
      </c>
      <c r="B2" s="1" t="s">
        <v>10</v>
      </c>
      <c r="C2" s="1" t="s">
        <v>11</v>
      </c>
      <c r="D2" s="1" t="s">
        <v>12</v>
      </c>
      <c r="E2" s="1">
        <v>1036.0899999999999</v>
      </c>
      <c r="F2" s="1">
        <v>4</v>
      </c>
      <c r="G2" s="2">
        <v>0.2</v>
      </c>
      <c r="H2" s="3">
        <v>45392</v>
      </c>
      <c r="I2" s="1">
        <v>331.55</v>
      </c>
    </row>
    <row r="3" spans="1:14" ht="15.6" x14ac:dyDescent="0.3">
      <c r="A3" s="1" t="s">
        <v>13</v>
      </c>
      <c r="B3" s="1" t="s">
        <v>14</v>
      </c>
      <c r="C3" s="1" t="s">
        <v>11</v>
      </c>
      <c r="D3" s="1" t="s">
        <v>15</v>
      </c>
      <c r="E3" s="1">
        <v>1101.28</v>
      </c>
      <c r="F3" s="1">
        <v>3</v>
      </c>
      <c r="G3" s="2">
        <v>0.2</v>
      </c>
      <c r="H3" s="3">
        <v>45393</v>
      </c>
      <c r="I3" s="1">
        <v>440.51</v>
      </c>
      <c r="M3" s="16" t="s">
        <v>79</v>
      </c>
    </row>
    <row r="4" spans="1:14" x14ac:dyDescent="0.3">
      <c r="A4" s="1" t="s">
        <v>16</v>
      </c>
      <c r="B4" s="1" t="s">
        <v>17</v>
      </c>
      <c r="C4" s="1" t="s">
        <v>18</v>
      </c>
      <c r="D4" s="1" t="s">
        <v>12</v>
      </c>
      <c r="E4" s="1">
        <v>713.34</v>
      </c>
      <c r="F4" s="1">
        <v>17</v>
      </c>
      <c r="G4" s="2">
        <v>0</v>
      </c>
      <c r="H4" s="3">
        <v>45396</v>
      </c>
      <c r="I4" s="1">
        <v>285.33999999999997</v>
      </c>
      <c r="M4" s="8">
        <f>SUM(I2:I201)</f>
        <v>68287.010000000009</v>
      </c>
    </row>
    <row r="5" spans="1:14" ht="28.8" x14ac:dyDescent="0.3">
      <c r="A5" s="1" t="s">
        <v>19</v>
      </c>
      <c r="B5" s="1" t="s">
        <v>14</v>
      </c>
      <c r="C5" s="1" t="s">
        <v>20</v>
      </c>
      <c r="D5" s="1" t="s">
        <v>21</v>
      </c>
      <c r="E5" s="1">
        <v>760.93</v>
      </c>
      <c r="F5" s="1">
        <v>4</v>
      </c>
      <c r="G5" s="2">
        <v>0.15</v>
      </c>
      <c r="H5" s="3">
        <v>45396</v>
      </c>
      <c r="I5" s="1">
        <v>161.69999999999999</v>
      </c>
    </row>
    <row r="6" spans="1:14" ht="28.8" x14ac:dyDescent="0.3">
      <c r="A6" s="1" t="s">
        <v>22</v>
      </c>
      <c r="B6" s="1" t="s">
        <v>23</v>
      </c>
      <c r="C6" s="1" t="s">
        <v>24</v>
      </c>
      <c r="D6" s="1" t="s">
        <v>12</v>
      </c>
      <c r="E6" s="1">
        <v>847</v>
      </c>
      <c r="F6" s="1">
        <v>12</v>
      </c>
      <c r="G6" s="2">
        <v>0.2</v>
      </c>
      <c r="H6" s="3">
        <v>45397</v>
      </c>
      <c r="I6" s="1">
        <v>271.04000000000002</v>
      </c>
    </row>
    <row r="7" spans="1:14" ht="26.4" customHeight="1" x14ac:dyDescent="0.3">
      <c r="A7" s="1" t="s">
        <v>25</v>
      </c>
      <c r="B7" s="1" t="s">
        <v>26</v>
      </c>
      <c r="C7" s="1" t="s">
        <v>24</v>
      </c>
      <c r="D7" s="1" t="s">
        <v>27</v>
      </c>
      <c r="E7" s="1">
        <v>965.64</v>
      </c>
      <c r="F7" s="1">
        <v>8</v>
      </c>
      <c r="G7" s="2">
        <v>0.1</v>
      </c>
      <c r="H7" s="3">
        <v>45398</v>
      </c>
      <c r="I7" s="1">
        <v>304.18</v>
      </c>
      <c r="M7" s="9" t="s">
        <v>80</v>
      </c>
      <c r="N7" s="9" t="s">
        <v>81</v>
      </c>
    </row>
    <row r="8" spans="1:14" ht="15.6" x14ac:dyDescent="0.3">
      <c r="A8" s="1" t="s">
        <v>28</v>
      </c>
      <c r="B8" s="1" t="s">
        <v>29</v>
      </c>
      <c r="C8" s="1" t="s">
        <v>11</v>
      </c>
      <c r="D8" s="1" t="s">
        <v>21</v>
      </c>
      <c r="E8" s="1">
        <v>1317.53</v>
      </c>
      <c r="F8" s="1">
        <v>12</v>
      </c>
      <c r="G8" s="2">
        <v>0.05</v>
      </c>
      <c r="H8" s="3">
        <v>45398</v>
      </c>
      <c r="I8" s="1">
        <v>312.91000000000003</v>
      </c>
      <c r="M8" s="11">
        <v>0.1</v>
      </c>
      <c r="N8" s="12">
        <f>M4-M4*M8</f>
        <v>61458.309000000008</v>
      </c>
    </row>
    <row r="9" spans="1:14" ht="15.6" x14ac:dyDescent="0.3">
      <c r="A9" s="1" t="s">
        <v>30</v>
      </c>
      <c r="B9" s="1" t="s">
        <v>31</v>
      </c>
      <c r="C9" s="1" t="s">
        <v>18</v>
      </c>
      <c r="D9" s="1" t="s">
        <v>27</v>
      </c>
      <c r="E9" s="1">
        <v>1074.47</v>
      </c>
      <c r="F9" s="1">
        <v>6</v>
      </c>
      <c r="G9" s="2">
        <v>0.2</v>
      </c>
      <c r="H9" s="3">
        <v>45401</v>
      </c>
      <c r="I9" s="1">
        <v>300.85000000000002</v>
      </c>
      <c r="M9" s="11">
        <v>0</v>
      </c>
      <c r="N9" s="12">
        <f>M4-M4*M9</f>
        <v>68287.010000000009</v>
      </c>
    </row>
    <row r="10" spans="1:14" ht="15.6" x14ac:dyDescent="0.3">
      <c r="A10" s="1" t="s">
        <v>32</v>
      </c>
      <c r="B10" s="1" t="s">
        <v>33</v>
      </c>
      <c r="C10" s="1" t="s">
        <v>34</v>
      </c>
      <c r="D10" s="1" t="s">
        <v>12</v>
      </c>
      <c r="E10" s="1">
        <v>501.54</v>
      </c>
      <c r="F10" s="1">
        <v>11</v>
      </c>
      <c r="G10" s="2">
        <v>0.05</v>
      </c>
      <c r="H10" s="3">
        <v>45401</v>
      </c>
      <c r="I10" s="1">
        <v>190.59</v>
      </c>
      <c r="M10" s="11">
        <v>0.05</v>
      </c>
      <c r="N10" s="12">
        <f>M4-M4*M10</f>
        <v>64872.659500000009</v>
      </c>
    </row>
    <row r="11" spans="1:14" ht="15.6" x14ac:dyDescent="0.3">
      <c r="A11" s="1" t="s">
        <v>35</v>
      </c>
      <c r="B11" s="1" t="s">
        <v>36</v>
      </c>
      <c r="C11" s="1" t="s">
        <v>34</v>
      </c>
      <c r="D11" s="1" t="s">
        <v>15</v>
      </c>
      <c r="E11" s="1">
        <v>737.31</v>
      </c>
      <c r="F11" s="1">
        <v>2</v>
      </c>
      <c r="G11" s="2">
        <v>0.05</v>
      </c>
      <c r="H11" s="3">
        <v>45401</v>
      </c>
      <c r="I11" s="1">
        <v>350.22</v>
      </c>
      <c r="M11" s="11">
        <v>0.1</v>
      </c>
      <c r="N11" s="12">
        <f>M4-M4*M11</f>
        <v>61458.309000000008</v>
      </c>
    </row>
    <row r="12" spans="1:14" ht="15.6" x14ac:dyDescent="0.3">
      <c r="A12" s="1" t="s">
        <v>37</v>
      </c>
      <c r="B12" s="1" t="s">
        <v>38</v>
      </c>
      <c r="C12" s="1" t="s">
        <v>11</v>
      </c>
      <c r="D12" s="1" t="s">
        <v>39</v>
      </c>
      <c r="E12" s="1">
        <v>1572.82</v>
      </c>
      <c r="F12" s="1">
        <v>6</v>
      </c>
      <c r="G12" s="2">
        <v>0.05</v>
      </c>
      <c r="H12" s="3">
        <v>45402</v>
      </c>
      <c r="I12" s="1">
        <v>672.38</v>
      </c>
      <c r="M12" s="11">
        <v>0.15</v>
      </c>
      <c r="N12" s="12">
        <f>M4-M4*M12</f>
        <v>58043.958500000008</v>
      </c>
    </row>
    <row r="13" spans="1:14" ht="15.6" x14ac:dyDescent="0.3">
      <c r="A13" s="1" t="s">
        <v>37</v>
      </c>
      <c r="B13" s="1" t="s">
        <v>36</v>
      </c>
      <c r="C13" s="1" t="s">
        <v>34</v>
      </c>
      <c r="D13" s="1" t="s">
        <v>12</v>
      </c>
      <c r="E13" s="1">
        <v>1343.13</v>
      </c>
      <c r="F13" s="1">
        <v>14</v>
      </c>
      <c r="G13" s="2">
        <v>0.15</v>
      </c>
      <c r="H13" s="3">
        <v>45404</v>
      </c>
      <c r="I13" s="1">
        <v>456.66</v>
      </c>
      <c r="M13" s="11">
        <v>0.2</v>
      </c>
      <c r="N13" s="12">
        <f>M4-M4*M13</f>
        <v>54629.608000000007</v>
      </c>
    </row>
    <row r="14" spans="1:14" ht="28.8" x14ac:dyDescent="0.3">
      <c r="A14" s="1" t="s">
        <v>25</v>
      </c>
      <c r="B14" s="1" t="s">
        <v>26</v>
      </c>
      <c r="C14" s="1" t="s">
        <v>34</v>
      </c>
      <c r="D14" s="1" t="s">
        <v>12</v>
      </c>
      <c r="E14" s="1">
        <v>1191.58</v>
      </c>
      <c r="F14" s="1">
        <v>14</v>
      </c>
      <c r="G14" s="2">
        <v>0.05</v>
      </c>
      <c r="H14" s="3">
        <v>45406</v>
      </c>
      <c r="I14" s="1">
        <v>452.8</v>
      </c>
    </row>
    <row r="15" spans="1:14" ht="28.8" x14ac:dyDescent="0.3">
      <c r="A15" s="1" t="s">
        <v>40</v>
      </c>
      <c r="B15" s="1" t="s">
        <v>14</v>
      </c>
      <c r="C15" s="1" t="s">
        <v>11</v>
      </c>
      <c r="D15" s="1" t="s">
        <v>27</v>
      </c>
      <c r="E15" s="1">
        <v>822.28</v>
      </c>
      <c r="F15" s="1">
        <v>7</v>
      </c>
      <c r="G15" s="2">
        <v>0.05</v>
      </c>
      <c r="H15" s="3">
        <v>45406</v>
      </c>
      <c r="I15" s="1">
        <v>273.41000000000003</v>
      </c>
    </row>
    <row r="16" spans="1:14" ht="28.8" x14ac:dyDescent="0.3">
      <c r="A16" s="1" t="s">
        <v>41</v>
      </c>
      <c r="B16" s="1" t="s">
        <v>42</v>
      </c>
      <c r="C16" s="1" t="s">
        <v>24</v>
      </c>
      <c r="D16" s="1" t="s">
        <v>27</v>
      </c>
      <c r="E16" s="1">
        <v>521.66999999999996</v>
      </c>
      <c r="F16" s="1">
        <v>15</v>
      </c>
      <c r="G16" s="2">
        <v>0.15</v>
      </c>
      <c r="H16" s="3">
        <v>45409</v>
      </c>
      <c r="I16" s="1">
        <v>155.19999999999999</v>
      </c>
    </row>
    <row r="17" spans="1:9" x14ac:dyDescent="0.3">
      <c r="A17" s="1" t="s">
        <v>19</v>
      </c>
      <c r="B17" s="1" t="s">
        <v>43</v>
      </c>
      <c r="C17" s="1" t="s">
        <v>20</v>
      </c>
      <c r="D17" s="1" t="s">
        <v>21</v>
      </c>
      <c r="E17" s="1">
        <v>1502.93</v>
      </c>
      <c r="F17" s="1">
        <v>14</v>
      </c>
      <c r="G17" s="2">
        <v>0.2</v>
      </c>
      <c r="H17" s="3">
        <v>45410</v>
      </c>
      <c r="I17" s="1">
        <v>300.58999999999997</v>
      </c>
    </row>
    <row r="18" spans="1:9" x14ac:dyDescent="0.3">
      <c r="A18" s="1" t="s">
        <v>44</v>
      </c>
      <c r="B18" s="1" t="s">
        <v>14</v>
      </c>
      <c r="C18" s="1" t="s">
        <v>20</v>
      </c>
      <c r="D18" s="1" t="s">
        <v>12</v>
      </c>
      <c r="E18" s="1">
        <v>877.58</v>
      </c>
      <c r="F18" s="1">
        <v>10</v>
      </c>
      <c r="G18" s="2">
        <v>0.15</v>
      </c>
      <c r="H18" s="3">
        <v>45411</v>
      </c>
      <c r="I18" s="1">
        <v>298.38</v>
      </c>
    </row>
    <row r="19" spans="1:9" x14ac:dyDescent="0.3">
      <c r="A19" s="1" t="s">
        <v>28</v>
      </c>
      <c r="B19" s="1" t="s">
        <v>45</v>
      </c>
      <c r="C19" s="1" t="s">
        <v>11</v>
      </c>
      <c r="D19" s="1" t="s">
        <v>12</v>
      </c>
      <c r="E19" s="1">
        <v>636.70000000000005</v>
      </c>
      <c r="F19" s="1">
        <v>4</v>
      </c>
      <c r="G19" s="2">
        <v>0.2</v>
      </c>
      <c r="H19" s="3">
        <v>45411</v>
      </c>
      <c r="I19" s="1">
        <v>203.74</v>
      </c>
    </row>
    <row r="20" spans="1:9" x14ac:dyDescent="0.3">
      <c r="A20" s="1" t="s">
        <v>46</v>
      </c>
      <c r="B20" s="1" t="s">
        <v>47</v>
      </c>
      <c r="C20" s="1" t="s">
        <v>11</v>
      </c>
      <c r="D20" s="1" t="s">
        <v>12</v>
      </c>
      <c r="E20" s="1">
        <v>1506.14</v>
      </c>
      <c r="F20" s="1">
        <v>13</v>
      </c>
      <c r="G20" s="2">
        <v>0.2</v>
      </c>
      <c r="H20" s="3">
        <v>45412</v>
      </c>
      <c r="I20" s="1">
        <v>481.96</v>
      </c>
    </row>
    <row r="21" spans="1:9" x14ac:dyDescent="0.3">
      <c r="A21" s="1" t="s">
        <v>30</v>
      </c>
      <c r="B21" s="1" t="s">
        <v>31</v>
      </c>
      <c r="C21" s="1" t="s">
        <v>34</v>
      </c>
      <c r="D21" s="1" t="s">
        <v>21</v>
      </c>
      <c r="E21" s="1">
        <v>645.02</v>
      </c>
      <c r="F21" s="1">
        <v>4</v>
      </c>
      <c r="G21" s="2">
        <v>0</v>
      </c>
      <c r="H21" s="3">
        <v>45414</v>
      </c>
      <c r="I21" s="1">
        <v>161.26</v>
      </c>
    </row>
    <row r="22" spans="1:9" x14ac:dyDescent="0.3">
      <c r="A22" s="1" t="s">
        <v>25</v>
      </c>
      <c r="B22" s="1" t="s">
        <v>48</v>
      </c>
      <c r="C22" s="1" t="s">
        <v>20</v>
      </c>
      <c r="D22" s="1" t="s">
        <v>15</v>
      </c>
      <c r="E22" s="1">
        <v>953.3</v>
      </c>
      <c r="F22" s="1">
        <v>11</v>
      </c>
      <c r="G22" s="2">
        <v>0</v>
      </c>
      <c r="H22" s="3">
        <v>45415</v>
      </c>
      <c r="I22" s="1">
        <v>476.65</v>
      </c>
    </row>
    <row r="23" spans="1:9" x14ac:dyDescent="0.3">
      <c r="A23" s="1" t="s">
        <v>49</v>
      </c>
      <c r="B23" s="1" t="s">
        <v>14</v>
      </c>
      <c r="C23" s="1" t="s">
        <v>24</v>
      </c>
      <c r="D23" s="1" t="s">
        <v>21</v>
      </c>
      <c r="E23" s="1">
        <v>388.56</v>
      </c>
      <c r="F23" s="1">
        <v>14</v>
      </c>
      <c r="G23" s="2">
        <v>0.15</v>
      </c>
      <c r="H23" s="3">
        <v>45416</v>
      </c>
      <c r="I23" s="1">
        <v>82.57</v>
      </c>
    </row>
    <row r="24" spans="1:9" x14ac:dyDescent="0.3">
      <c r="A24" s="1" t="s">
        <v>9</v>
      </c>
      <c r="B24" s="1" t="s">
        <v>31</v>
      </c>
      <c r="C24" s="1" t="s">
        <v>11</v>
      </c>
      <c r="D24" s="1" t="s">
        <v>12</v>
      </c>
      <c r="E24" s="1">
        <v>743.17</v>
      </c>
      <c r="F24" s="1">
        <v>9</v>
      </c>
      <c r="G24" s="2">
        <v>0</v>
      </c>
      <c r="H24" s="3">
        <v>45416</v>
      </c>
      <c r="I24" s="1">
        <v>297.27</v>
      </c>
    </row>
    <row r="25" spans="1:9" x14ac:dyDescent="0.3">
      <c r="A25" s="1" t="s">
        <v>40</v>
      </c>
      <c r="B25" s="1" t="s">
        <v>31</v>
      </c>
      <c r="C25" s="1" t="s">
        <v>34</v>
      </c>
      <c r="D25" s="1" t="s">
        <v>21</v>
      </c>
      <c r="E25" s="1">
        <v>706.37</v>
      </c>
      <c r="F25" s="1">
        <v>6</v>
      </c>
      <c r="G25" s="2">
        <v>0</v>
      </c>
      <c r="H25" s="3">
        <v>45416</v>
      </c>
      <c r="I25" s="1">
        <v>176.59</v>
      </c>
    </row>
    <row r="26" spans="1:9" x14ac:dyDescent="0.3">
      <c r="A26" s="1" t="s">
        <v>13</v>
      </c>
      <c r="B26" s="1" t="s">
        <v>31</v>
      </c>
      <c r="C26" s="1" t="s">
        <v>34</v>
      </c>
      <c r="D26" s="1" t="s">
        <v>39</v>
      </c>
      <c r="E26" s="1">
        <v>925.31</v>
      </c>
      <c r="F26" s="1">
        <v>8</v>
      </c>
      <c r="G26" s="2">
        <v>0.1</v>
      </c>
      <c r="H26" s="3">
        <v>45418</v>
      </c>
      <c r="I26" s="1">
        <v>374.75</v>
      </c>
    </row>
    <row r="27" spans="1:9" x14ac:dyDescent="0.3">
      <c r="A27" s="1" t="s">
        <v>35</v>
      </c>
      <c r="B27" s="1" t="s">
        <v>50</v>
      </c>
      <c r="C27" s="1" t="s">
        <v>20</v>
      </c>
      <c r="D27" s="1" t="s">
        <v>21</v>
      </c>
      <c r="E27" s="1">
        <v>1173.1199999999999</v>
      </c>
      <c r="F27" s="1">
        <v>18</v>
      </c>
      <c r="G27" s="2">
        <v>0</v>
      </c>
      <c r="H27" s="3">
        <v>45418</v>
      </c>
      <c r="I27" s="1">
        <v>293.27999999999997</v>
      </c>
    </row>
    <row r="28" spans="1:9" x14ac:dyDescent="0.3">
      <c r="A28" s="1" t="s">
        <v>22</v>
      </c>
      <c r="B28" s="1" t="s">
        <v>51</v>
      </c>
      <c r="C28" s="1" t="s">
        <v>24</v>
      </c>
      <c r="D28" s="1" t="s">
        <v>27</v>
      </c>
      <c r="E28" s="1">
        <v>675.54</v>
      </c>
      <c r="F28" s="1">
        <v>17</v>
      </c>
      <c r="G28" s="2">
        <v>0</v>
      </c>
      <c r="H28" s="3">
        <v>45420</v>
      </c>
      <c r="I28" s="1">
        <v>236.44</v>
      </c>
    </row>
    <row r="29" spans="1:9" x14ac:dyDescent="0.3">
      <c r="A29" s="1" t="s">
        <v>25</v>
      </c>
      <c r="B29" s="1" t="s">
        <v>14</v>
      </c>
      <c r="C29" s="1" t="s">
        <v>34</v>
      </c>
      <c r="D29" s="1" t="s">
        <v>12</v>
      </c>
      <c r="E29" s="1">
        <v>939.09</v>
      </c>
      <c r="F29" s="1">
        <v>2</v>
      </c>
      <c r="G29" s="2">
        <v>0.05</v>
      </c>
      <c r="H29" s="3">
        <v>45422</v>
      </c>
      <c r="I29" s="1">
        <v>356.85</v>
      </c>
    </row>
    <row r="30" spans="1:9" x14ac:dyDescent="0.3">
      <c r="A30" s="1" t="s">
        <v>52</v>
      </c>
      <c r="B30" s="1" t="s">
        <v>53</v>
      </c>
      <c r="C30" s="1" t="s">
        <v>18</v>
      </c>
      <c r="D30" s="1" t="s">
        <v>39</v>
      </c>
      <c r="E30" s="1">
        <v>983.34</v>
      </c>
      <c r="F30" s="1">
        <v>19</v>
      </c>
      <c r="G30" s="2">
        <v>0.1</v>
      </c>
      <c r="H30" s="3">
        <v>45426</v>
      </c>
      <c r="I30" s="1">
        <v>398.25</v>
      </c>
    </row>
    <row r="31" spans="1:9" x14ac:dyDescent="0.3">
      <c r="A31" s="1" t="s">
        <v>52</v>
      </c>
      <c r="B31" s="1" t="s">
        <v>23</v>
      </c>
      <c r="C31" s="1" t="s">
        <v>20</v>
      </c>
      <c r="D31" s="1" t="s">
        <v>21</v>
      </c>
      <c r="E31" s="1">
        <v>801.21</v>
      </c>
      <c r="F31" s="1">
        <v>3</v>
      </c>
      <c r="G31" s="2">
        <v>0.2</v>
      </c>
      <c r="H31" s="3">
        <v>45426</v>
      </c>
      <c r="I31" s="1">
        <v>160.24</v>
      </c>
    </row>
    <row r="32" spans="1:9" x14ac:dyDescent="0.3">
      <c r="A32" s="1" t="s">
        <v>54</v>
      </c>
      <c r="B32" s="1" t="s">
        <v>55</v>
      </c>
      <c r="C32" s="1" t="s">
        <v>24</v>
      </c>
      <c r="D32" s="1" t="s">
        <v>21</v>
      </c>
      <c r="E32" s="1">
        <v>1450.71</v>
      </c>
      <c r="F32" s="1">
        <v>5</v>
      </c>
      <c r="G32" s="2">
        <v>0.1</v>
      </c>
      <c r="H32" s="3">
        <v>45427</v>
      </c>
      <c r="I32" s="1">
        <v>326.41000000000003</v>
      </c>
    </row>
    <row r="33" spans="1:9" x14ac:dyDescent="0.3">
      <c r="A33" s="1" t="s">
        <v>49</v>
      </c>
      <c r="B33" s="1" t="s">
        <v>56</v>
      </c>
      <c r="C33" s="1" t="s">
        <v>34</v>
      </c>
      <c r="D33" s="1" t="s">
        <v>12</v>
      </c>
      <c r="E33" s="1">
        <v>1023.21</v>
      </c>
      <c r="F33" s="1">
        <v>18</v>
      </c>
      <c r="G33" s="2">
        <v>0.05</v>
      </c>
      <c r="H33" s="3">
        <v>45428</v>
      </c>
      <c r="I33" s="1">
        <v>388.82</v>
      </c>
    </row>
    <row r="34" spans="1:9" x14ac:dyDescent="0.3">
      <c r="A34" s="1" t="s">
        <v>28</v>
      </c>
      <c r="B34" s="1" t="s">
        <v>47</v>
      </c>
      <c r="C34" s="1" t="s">
        <v>11</v>
      </c>
      <c r="D34" s="1" t="s">
        <v>27</v>
      </c>
      <c r="E34" s="1">
        <v>853.72</v>
      </c>
      <c r="F34" s="1">
        <v>5</v>
      </c>
      <c r="G34" s="2">
        <v>0.15</v>
      </c>
      <c r="H34" s="3">
        <v>45428</v>
      </c>
      <c r="I34" s="1">
        <v>253.98</v>
      </c>
    </row>
    <row r="35" spans="1:9" x14ac:dyDescent="0.3">
      <c r="A35" s="1" t="s">
        <v>57</v>
      </c>
      <c r="B35" s="1" t="s">
        <v>43</v>
      </c>
      <c r="C35" s="1" t="s">
        <v>20</v>
      </c>
      <c r="D35" s="1" t="s">
        <v>21</v>
      </c>
      <c r="E35" s="1">
        <v>967.89</v>
      </c>
      <c r="F35" s="1">
        <v>10</v>
      </c>
      <c r="G35" s="2">
        <v>0.1</v>
      </c>
      <c r="H35" s="3">
        <v>45429</v>
      </c>
      <c r="I35" s="1">
        <v>217.78</v>
      </c>
    </row>
    <row r="36" spans="1:9" x14ac:dyDescent="0.3">
      <c r="A36" s="1" t="s">
        <v>58</v>
      </c>
      <c r="B36" s="1" t="s">
        <v>53</v>
      </c>
      <c r="C36" s="1" t="s">
        <v>24</v>
      </c>
      <c r="D36" s="1" t="s">
        <v>39</v>
      </c>
      <c r="E36" s="1">
        <v>1200.9000000000001</v>
      </c>
      <c r="F36" s="1">
        <v>14</v>
      </c>
      <c r="G36" s="2">
        <v>0.05</v>
      </c>
      <c r="H36" s="3">
        <v>45429</v>
      </c>
      <c r="I36" s="1">
        <v>513.38</v>
      </c>
    </row>
    <row r="37" spans="1:9" x14ac:dyDescent="0.3">
      <c r="A37" s="1" t="s">
        <v>13</v>
      </c>
      <c r="B37" s="1" t="s">
        <v>26</v>
      </c>
      <c r="C37" s="1" t="s">
        <v>11</v>
      </c>
      <c r="D37" s="1" t="s">
        <v>12</v>
      </c>
      <c r="E37" s="1">
        <v>472.38</v>
      </c>
      <c r="F37" s="1">
        <v>12</v>
      </c>
      <c r="G37" s="2">
        <v>0.2</v>
      </c>
      <c r="H37" s="3">
        <v>45429</v>
      </c>
      <c r="I37" s="1">
        <v>151.16</v>
      </c>
    </row>
    <row r="38" spans="1:9"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x14ac:dyDescent="0.3">
      <c r="A40" s="1" t="s">
        <v>44</v>
      </c>
      <c r="B40" s="1" t="s">
        <v>59</v>
      </c>
      <c r="C40" s="1" t="s">
        <v>34</v>
      </c>
      <c r="D40" s="1" t="s">
        <v>27</v>
      </c>
      <c r="E40" s="1">
        <v>773.09</v>
      </c>
      <c r="F40" s="1">
        <v>13</v>
      </c>
      <c r="G40" s="2">
        <v>0.15</v>
      </c>
      <c r="H40" s="3">
        <v>45434</v>
      </c>
      <c r="I40" s="1">
        <v>229.99</v>
      </c>
    </row>
    <row r="41" spans="1:9" x14ac:dyDescent="0.3">
      <c r="A41" s="1" t="s">
        <v>60</v>
      </c>
      <c r="B41" s="1" t="s">
        <v>61</v>
      </c>
      <c r="C41" s="1" t="s">
        <v>18</v>
      </c>
      <c r="D41" s="1" t="s">
        <v>12</v>
      </c>
      <c r="E41" s="1">
        <v>580.42999999999995</v>
      </c>
      <c r="F41" s="1">
        <v>19</v>
      </c>
      <c r="G41" s="2">
        <v>0.15</v>
      </c>
      <c r="H41" s="3">
        <v>45435</v>
      </c>
      <c r="I41" s="1">
        <v>197.35</v>
      </c>
    </row>
    <row r="42" spans="1:9" x14ac:dyDescent="0.3">
      <c r="A42" s="1" t="s">
        <v>19</v>
      </c>
      <c r="B42" s="1" t="s">
        <v>42</v>
      </c>
      <c r="C42" s="1" t="s">
        <v>20</v>
      </c>
      <c r="D42" s="1" t="s">
        <v>12</v>
      </c>
      <c r="E42" s="1">
        <v>1151.21</v>
      </c>
      <c r="F42" s="1">
        <v>15</v>
      </c>
      <c r="G42" s="2">
        <v>0.1</v>
      </c>
      <c r="H42" s="3">
        <v>45445</v>
      </c>
      <c r="I42" s="1">
        <v>414.44</v>
      </c>
    </row>
    <row r="43" spans="1:9" x14ac:dyDescent="0.3">
      <c r="A43" s="1" t="s">
        <v>52</v>
      </c>
      <c r="B43" s="1" t="s">
        <v>23</v>
      </c>
      <c r="C43" s="1" t="s">
        <v>34</v>
      </c>
      <c r="D43" s="1" t="s">
        <v>39</v>
      </c>
      <c r="E43" s="1">
        <v>1025.98</v>
      </c>
      <c r="F43" s="1">
        <v>5</v>
      </c>
      <c r="G43" s="2">
        <v>0.2</v>
      </c>
      <c r="H43" s="3">
        <v>45447</v>
      </c>
      <c r="I43" s="1">
        <v>369.35</v>
      </c>
    </row>
    <row r="44" spans="1:9" x14ac:dyDescent="0.3">
      <c r="A44" s="1" t="s">
        <v>40</v>
      </c>
      <c r="B44" s="1" t="s">
        <v>56</v>
      </c>
      <c r="C44" s="1" t="s">
        <v>18</v>
      </c>
      <c r="D44" s="1" t="s">
        <v>39</v>
      </c>
      <c r="E44" s="1">
        <v>556.41999999999996</v>
      </c>
      <c r="F44" s="1">
        <v>11</v>
      </c>
      <c r="G44" s="2">
        <v>0.15</v>
      </c>
      <c r="H44" s="3">
        <v>45447</v>
      </c>
      <c r="I44" s="1">
        <v>212.83</v>
      </c>
    </row>
    <row r="45" spans="1:9" x14ac:dyDescent="0.3">
      <c r="A45" s="1" t="s">
        <v>57</v>
      </c>
      <c r="B45" s="1" t="s">
        <v>23</v>
      </c>
      <c r="C45" s="1" t="s">
        <v>34</v>
      </c>
      <c r="D45" s="1" t="s">
        <v>12</v>
      </c>
      <c r="E45" s="1">
        <v>840.85</v>
      </c>
      <c r="F45" s="1">
        <v>19</v>
      </c>
      <c r="G45" s="2">
        <v>0.1</v>
      </c>
      <c r="H45" s="3">
        <v>45448</v>
      </c>
      <c r="I45" s="1">
        <v>302.70999999999998</v>
      </c>
    </row>
    <row r="46" spans="1:9" x14ac:dyDescent="0.3">
      <c r="A46" s="1" t="s">
        <v>30</v>
      </c>
      <c r="B46" s="1" t="s">
        <v>61</v>
      </c>
      <c r="C46" s="1" t="s">
        <v>24</v>
      </c>
      <c r="D46" s="1" t="s">
        <v>27</v>
      </c>
      <c r="E46" s="1">
        <v>1227.25</v>
      </c>
      <c r="F46" s="1">
        <v>12</v>
      </c>
      <c r="G46" s="2">
        <v>0.15</v>
      </c>
      <c r="H46" s="3">
        <v>45448</v>
      </c>
      <c r="I46" s="1">
        <v>365.11</v>
      </c>
    </row>
    <row r="47" spans="1:9" x14ac:dyDescent="0.3">
      <c r="A47" s="1" t="s">
        <v>16</v>
      </c>
      <c r="B47" s="1" t="s">
        <v>62</v>
      </c>
      <c r="C47" s="1" t="s">
        <v>34</v>
      </c>
      <c r="D47" s="1" t="s">
        <v>21</v>
      </c>
      <c r="E47" s="1">
        <v>856.7</v>
      </c>
      <c r="F47" s="1">
        <v>2</v>
      </c>
      <c r="G47" s="2">
        <v>0</v>
      </c>
      <c r="H47" s="3">
        <v>45449</v>
      </c>
      <c r="I47" s="1">
        <v>214.18</v>
      </c>
    </row>
    <row r="48" spans="1:9" x14ac:dyDescent="0.3">
      <c r="A48" s="1" t="s">
        <v>54</v>
      </c>
      <c r="B48" s="1" t="s">
        <v>56</v>
      </c>
      <c r="C48" s="1" t="s">
        <v>34</v>
      </c>
      <c r="D48" s="1" t="s">
        <v>39</v>
      </c>
      <c r="E48" s="1">
        <v>1225.42</v>
      </c>
      <c r="F48" s="1">
        <v>8</v>
      </c>
      <c r="G48" s="2">
        <v>0.15</v>
      </c>
      <c r="H48" s="3">
        <v>45449</v>
      </c>
      <c r="I48" s="1">
        <v>468.72</v>
      </c>
    </row>
    <row r="49" spans="1:9" x14ac:dyDescent="0.3">
      <c r="A49" s="1" t="s">
        <v>63</v>
      </c>
      <c r="B49" s="1" t="s">
        <v>31</v>
      </c>
      <c r="C49" s="1" t="s">
        <v>24</v>
      </c>
      <c r="D49" s="1" t="s">
        <v>39</v>
      </c>
      <c r="E49" s="1">
        <v>1001.57</v>
      </c>
      <c r="F49" s="1">
        <v>12</v>
      </c>
      <c r="G49" s="2">
        <v>0</v>
      </c>
      <c r="H49" s="3">
        <v>45450</v>
      </c>
      <c r="I49" s="1">
        <v>450.71</v>
      </c>
    </row>
    <row r="50" spans="1:9" x14ac:dyDescent="0.3">
      <c r="A50" s="1" t="s">
        <v>57</v>
      </c>
      <c r="B50" s="1" t="s">
        <v>26</v>
      </c>
      <c r="C50" s="1" t="s">
        <v>18</v>
      </c>
      <c r="D50" s="1" t="s">
        <v>27</v>
      </c>
      <c r="E50" s="1">
        <v>1186.8499999999999</v>
      </c>
      <c r="F50" s="1">
        <v>19</v>
      </c>
      <c r="G50" s="2">
        <v>0.2</v>
      </c>
      <c r="H50" s="3">
        <v>45451</v>
      </c>
      <c r="I50" s="1">
        <v>332.32</v>
      </c>
    </row>
    <row r="51" spans="1:9" x14ac:dyDescent="0.3">
      <c r="A51" s="1" t="s">
        <v>44</v>
      </c>
      <c r="B51" s="1" t="s">
        <v>51</v>
      </c>
      <c r="C51" s="1" t="s">
        <v>20</v>
      </c>
      <c r="D51" s="1" t="s">
        <v>21</v>
      </c>
      <c r="E51" s="1">
        <v>775.45</v>
      </c>
      <c r="F51" s="1">
        <v>6</v>
      </c>
      <c r="G51" s="2">
        <v>0.1</v>
      </c>
      <c r="H51" s="3">
        <v>45457</v>
      </c>
      <c r="I51" s="1">
        <v>174.48</v>
      </c>
    </row>
    <row r="52" spans="1:9" x14ac:dyDescent="0.3">
      <c r="A52" s="1" t="s">
        <v>25</v>
      </c>
      <c r="B52" s="1" t="s">
        <v>33</v>
      </c>
      <c r="C52" s="1" t="s">
        <v>20</v>
      </c>
      <c r="D52" s="1" t="s">
        <v>21</v>
      </c>
      <c r="E52" s="1">
        <v>1021.47</v>
      </c>
      <c r="F52" s="1">
        <v>6</v>
      </c>
      <c r="G52" s="2">
        <v>0.05</v>
      </c>
      <c r="H52" s="3">
        <v>45461</v>
      </c>
      <c r="I52" s="1">
        <v>242.6</v>
      </c>
    </row>
    <row r="53" spans="1:9" x14ac:dyDescent="0.3">
      <c r="A53" s="1" t="s">
        <v>58</v>
      </c>
      <c r="B53" s="1" t="s">
        <v>23</v>
      </c>
      <c r="C53" s="1" t="s">
        <v>20</v>
      </c>
      <c r="D53" s="1" t="s">
        <v>15</v>
      </c>
      <c r="E53" s="1">
        <v>1226.6199999999999</v>
      </c>
      <c r="F53" s="1">
        <v>7</v>
      </c>
      <c r="G53" s="2">
        <v>0.1</v>
      </c>
      <c r="H53" s="3">
        <v>45463</v>
      </c>
      <c r="I53" s="1">
        <v>551.98</v>
      </c>
    </row>
    <row r="54" spans="1:9"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x14ac:dyDescent="0.3">
      <c r="A56" s="1" t="s">
        <v>32</v>
      </c>
      <c r="B56" s="1" t="s">
        <v>38</v>
      </c>
      <c r="C56" s="1" t="s">
        <v>24</v>
      </c>
      <c r="D56" s="1" t="s">
        <v>21</v>
      </c>
      <c r="E56" s="1">
        <v>818.8</v>
      </c>
      <c r="F56" s="1">
        <v>15</v>
      </c>
      <c r="G56" s="2">
        <v>0.15</v>
      </c>
      <c r="H56" s="3">
        <v>45468</v>
      </c>
      <c r="I56" s="1">
        <v>173.99</v>
      </c>
    </row>
    <row r="57" spans="1:9" x14ac:dyDescent="0.3">
      <c r="A57" s="1" t="s">
        <v>19</v>
      </c>
      <c r="B57" s="1" t="s">
        <v>14</v>
      </c>
      <c r="C57" s="1" t="s">
        <v>20</v>
      </c>
      <c r="D57" s="1" t="s">
        <v>27</v>
      </c>
      <c r="E57" s="1">
        <v>919.04</v>
      </c>
      <c r="F57" s="1">
        <v>10</v>
      </c>
      <c r="G57" s="2">
        <v>0.2</v>
      </c>
      <c r="H57" s="3">
        <v>45468</v>
      </c>
      <c r="I57" s="1">
        <v>257.33</v>
      </c>
    </row>
    <row r="58" spans="1:9" x14ac:dyDescent="0.3">
      <c r="A58" s="1" t="s">
        <v>22</v>
      </c>
      <c r="B58" s="1" t="s">
        <v>66</v>
      </c>
      <c r="C58" s="1" t="s">
        <v>34</v>
      </c>
      <c r="D58" s="1" t="s">
        <v>12</v>
      </c>
      <c r="E58" s="1">
        <v>973.26</v>
      </c>
      <c r="F58" s="1">
        <v>11</v>
      </c>
      <c r="G58" s="2">
        <v>0</v>
      </c>
      <c r="H58" s="3">
        <v>45470</v>
      </c>
      <c r="I58" s="1">
        <v>389.3</v>
      </c>
    </row>
    <row r="59" spans="1:9" x14ac:dyDescent="0.3">
      <c r="A59" s="1" t="s">
        <v>41</v>
      </c>
      <c r="B59" s="1" t="s">
        <v>64</v>
      </c>
      <c r="C59" s="1" t="s">
        <v>24</v>
      </c>
      <c r="D59" s="1" t="s">
        <v>21</v>
      </c>
      <c r="E59" s="1">
        <v>741.61</v>
      </c>
      <c r="F59" s="1">
        <v>1</v>
      </c>
      <c r="G59" s="2">
        <v>0.2</v>
      </c>
      <c r="H59" s="3">
        <v>45471</v>
      </c>
      <c r="I59" s="1">
        <v>148.32</v>
      </c>
    </row>
    <row r="60" spans="1:9" x14ac:dyDescent="0.3">
      <c r="A60" s="1" t="s">
        <v>67</v>
      </c>
      <c r="B60" s="1" t="s">
        <v>38</v>
      </c>
      <c r="C60" s="1" t="s">
        <v>24</v>
      </c>
      <c r="D60" s="1" t="s">
        <v>12</v>
      </c>
      <c r="E60" s="1">
        <v>1248.82</v>
      </c>
      <c r="F60" s="1">
        <v>2</v>
      </c>
      <c r="G60" s="2">
        <v>0.1</v>
      </c>
      <c r="H60" s="3">
        <v>45473</v>
      </c>
      <c r="I60" s="1">
        <v>449.58</v>
      </c>
    </row>
    <row r="61" spans="1:9" x14ac:dyDescent="0.3">
      <c r="A61" s="1" t="s">
        <v>13</v>
      </c>
      <c r="B61" s="1" t="s">
        <v>59</v>
      </c>
      <c r="C61" s="1" t="s">
        <v>11</v>
      </c>
      <c r="D61" s="1" t="s">
        <v>15</v>
      </c>
      <c r="E61" s="1">
        <v>1360.36</v>
      </c>
      <c r="F61" s="1">
        <v>17</v>
      </c>
      <c r="G61" s="2">
        <v>0</v>
      </c>
      <c r="H61" s="3">
        <v>45473</v>
      </c>
      <c r="I61" s="1">
        <v>680.18</v>
      </c>
    </row>
    <row r="62" spans="1:9" x14ac:dyDescent="0.3">
      <c r="A62" s="1" t="s">
        <v>57</v>
      </c>
      <c r="B62" s="1" t="s">
        <v>31</v>
      </c>
      <c r="C62" s="1" t="s">
        <v>18</v>
      </c>
      <c r="D62" s="1" t="s">
        <v>12</v>
      </c>
      <c r="E62" s="1">
        <v>1383.3</v>
      </c>
      <c r="F62" s="1">
        <v>8</v>
      </c>
      <c r="G62" s="2">
        <v>0.1</v>
      </c>
      <c r="H62" s="3">
        <v>45478</v>
      </c>
      <c r="I62" s="1">
        <v>497.99</v>
      </c>
    </row>
    <row r="63" spans="1:9" x14ac:dyDescent="0.3">
      <c r="A63" s="1" t="s">
        <v>35</v>
      </c>
      <c r="B63" s="1" t="s">
        <v>55</v>
      </c>
      <c r="C63" s="1" t="s">
        <v>34</v>
      </c>
      <c r="D63" s="1" t="s">
        <v>39</v>
      </c>
      <c r="E63" s="1">
        <v>488.99</v>
      </c>
      <c r="F63" s="1">
        <v>9</v>
      </c>
      <c r="G63" s="2">
        <v>0</v>
      </c>
      <c r="H63" s="3">
        <v>45479</v>
      </c>
      <c r="I63" s="1">
        <v>220.05</v>
      </c>
    </row>
    <row r="64" spans="1:9" x14ac:dyDescent="0.3">
      <c r="A64" s="1" t="s">
        <v>30</v>
      </c>
      <c r="B64" s="1" t="s">
        <v>31</v>
      </c>
      <c r="C64" s="1" t="s">
        <v>18</v>
      </c>
      <c r="D64" s="1" t="s">
        <v>27</v>
      </c>
      <c r="E64" s="1">
        <v>933.71</v>
      </c>
      <c r="F64" s="1">
        <v>17</v>
      </c>
      <c r="G64" s="2">
        <v>0.1</v>
      </c>
      <c r="H64" s="3">
        <v>45481</v>
      </c>
      <c r="I64" s="1">
        <v>294.12</v>
      </c>
    </row>
    <row r="65" spans="1:9" x14ac:dyDescent="0.3">
      <c r="A65" s="1" t="s">
        <v>67</v>
      </c>
      <c r="B65" s="1" t="s">
        <v>10</v>
      </c>
      <c r="C65" s="1" t="s">
        <v>11</v>
      </c>
      <c r="D65" s="1" t="s">
        <v>21</v>
      </c>
      <c r="E65" s="1">
        <v>1005.53</v>
      </c>
      <c r="F65" s="1">
        <v>17</v>
      </c>
      <c r="G65" s="2">
        <v>0.2</v>
      </c>
      <c r="H65" s="3">
        <v>45481</v>
      </c>
      <c r="I65" s="1">
        <v>201.11</v>
      </c>
    </row>
    <row r="66" spans="1:9" x14ac:dyDescent="0.3">
      <c r="A66" s="1" t="s">
        <v>41</v>
      </c>
      <c r="B66" s="1" t="s">
        <v>61</v>
      </c>
      <c r="C66" s="1" t="s">
        <v>20</v>
      </c>
      <c r="D66" s="1" t="s">
        <v>21</v>
      </c>
      <c r="E66" s="1">
        <v>1100.0999999999999</v>
      </c>
      <c r="F66" s="1">
        <v>5</v>
      </c>
      <c r="G66" s="2">
        <v>0.05</v>
      </c>
      <c r="H66" s="3">
        <v>45482</v>
      </c>
      <c r="I66" s="1">
        <v>261.27</v>
      </c>
    </row>
    <row r="67" spans="1:9" x14ac:dyDescent="0.3">
      <c r="A67" s="1" t="s">
        <v>67</v>
      </c>
      <c r="B67" s="1" t="s">
        <v>23</v>
      </c>
      <c r="C67" s="1" t="s">
        <v>24</v>
      </c>
      <c r="D67" s="1" t="s">
        <v>27</v>
      </c>
      <c r="E67" s="1">
        <v>1034.7</v>
      </c>
      <c r="F67" s="1">
        <v>15</v>
      </c>
      <c r="G67" s="2">
        <v>0.15</v>
      </c>
      <c r="H67" s="3">
        <v>45487</v>
      </c>
      <c r="I67" s="1">
        <v>307.82</v>
      </c>
    </row>
    <row r="68" spans="1:9" x14ac:dyDescent="0.3">
      <c r="A68" s="1" t="s">
        <v>65</v>
      </c>
      <c r="B68" s="1" t="s">
        <v>31</v>
      </c>
      <c r="C68" s="1" t="s">
        <v>20</v>
      </c>
      <c r="D68" s="1" t="s">
        <v>12</v>
      </c>
      <c r="E68" s="1">
        <v>876.44</v>
      </c>
      <c r="F68" s="1">
        <v>12</v>
      </c>
      <c r="G68" s="2">
        <v>0.05</v>
      </c>
      <c r="H68" s="3">
        <v>45488</v>
      </c>
      <c r="I68" s="1">
        <v>333.05</v>
      </c>
    </row>
    <row r="69" spans="1:9" x14ac:dyDescent="0.3">
      <c r="A69" s="1" t="s">
        <v>68</v>
      </c>
      <c r="B69" s="1" t="s">
        <v>55</v>
      </c>
      <c r="C69" s="1" t="s">
        <v>11</v>
      </c>
      <c r="D69" s="1" t="s">
        <v>27</v>
      </c>
      <c r="E69" s="1">
        <v>1371.34</v>
      </c>
      <c r="F69" s="1">
        <v>5</v>
      </c>
      <c r="G69" s="2">
        <v>0.05</v>
      </c>
      <c r="H69" s="3">
        <v>45488</v>
      </c>
      <c r="I69" s="1">
        <v>455.97</v>
      </c>
    </row>
    <row r="70" spans="1:9" x14ac:dyDescent="0.3">
      <c r="A70" s="1" t="s">
        <v>57</v>
      </c>
      <c r="B70" s="1" t="s">
        <v>47</v>
      </c>
      <c r="C70" s="1" t="s">
        <v>24</v>
      </c>
      <c r="D70" s="1" t="s">
        <v>21</v>
      </c>
      <c r="E70" s="1">
        <v>1020.26</v>
      </c>
      <c r="F70" s="1">
        <v>11</v>
      </c>
      <c r="G70" s="2">
        <v>0.05</v>
      </c>
      <c r="H70" s="3">
        <v>45494</v>
      </c>
      <c r="I70" s="1">
        <v>242.31</v>
      </c>
    </row>
    <row r="71" spans="1:9" x14ac:dyDescent="0.3">
      <c r="A71" s="1" t="s">
        <v>44</v>
      </c>
      <c r="B71" s="1" t="s">
        <v>10</v>
      </c>
      <c r="C71" s="1" t="s">
        <v>34</v>
      </c>
      <c r="D71" s="1" t="s">
        <v>39</v>
      </c>
      <c r="E71" s="1">
        <v>804.81</v>
      </c>
      <c r="F71" s="1">
        <v>1</v>
      </c>
      <c r="G71" s="2">
        <v>0.05</v>
      </c>
      <c r="H71" s="3">
        <v>45502</v>
      </c>
      <c r="I71" s="1">
        <v>344.06</v>
      </c>
    </row>
    <row r="72" spans="1:9" x14ac:dyDescent="0.3">
      <c r="A72" s="1" t="s">
        <v>22</v>
      </c>
      <c r="B72" s="1" t="s">
        <v>55</v>
      </c>
      <c r="C72" s="1" t="s">
        <v>34</v>
      </c>
      <c r="D72" s="1" t="s">
        <v>21</v>
      </c>
      <c r="E72" s="1">
        <v>608.66</v>
      </c>
      <c r="F72" s="1">
        <v>1</v>
      </c>
      <c r="G72" s="2">
        <v>0.05</v>
      </c>
      <c r="H72" s="3">
        <v>45503</v>
      </c>
      <c r="I72" s="1">
        <v>144.56</v>
      </c>
    </row>
    <row r="73" spans="1:9" x14ac:dyDescent="0.3">
      <c r="A73" s="1" t="s">
        <v>68</v>
      </c>
      <c r="B73" s="1" t="s">
        <v>69</v>
      </c>
      <c r="C73" s="1" t="s">
        <v>20</v>
      </c>
      <c r="D73" s="1" t="s">
        <v>39</v>
      </c>
      <c r="E73" s="1">
        <v>981.2</v>
      </c>
      <c r="F73" s="1">
        <v>19</v>
      </c>
      <c r="G73" s="2">
        <v>0</v>
      </c>
      <c r="H73" s="3">
        <v>45504</v>
      </c>
      <c r="I73" s="1">
        <v>441.54</v>
      </c>
    </row>
    <row r="74" spans="1:9" x14ac:dyDescent="0.3">
      <c r="A74" s="1" t="s">
        <v>70</v>
      </c>
      <c r="B74" s="1" t="s">
        <v>55</v>
      </c>
      <c r="C74" s="1" t="s">
        <v>18</v>
      </c>
      <c r="D74" s="1" t="s">
        <v>21</v>
      </c>
      <c r="E74" s="1">
        <v>539.77</v>
      </c>
      <c r="F74" s="1">
        <v>10</v>
      </c>
      <c r="G74" s="2">
        <v>0.15</v>
      </c>
      <c r="H74" s="3">
        <v>45509</v>
      </c>
      <c r="I74" s="1">
        <v>114.7</v>
      </c>
    </row>
    <row r="75" spans="1:9" x14ac:dyDescent="0.3">
      <c r="A75" s="1" t="s">
        <v>13</v>
      </c>
      <c r="B75" s="1" t="s">
        <v>71</v>
      </c>
      <c r="C75" s="1" t="s">
        <v>20</v>
      </c>
      <c r="D75" s="1" t="s">
        <v>12</v>
      </c>
      <c r="E75" s="1">
        <v>804.45</v>
      </c>
      <c r="F75" s="1">
        <v>5</v>
      </c>
      <c r="G75" s="2">
        <v>0.2</v>
      </c>
      <c r="H75" s="3">
        <v>45509</v>
      </c>
      <c r="I75" s="1">
        <v>257.42</v>
      </c>
    </row>
    <row r="76" spans="1:9" x14ac:dyDescent="0.3">
      <c r="A76" s="1" t="s">
        <v>70</v>
      </c>
      <c r="B76" s="1" t="s">
        <v>38</v>
      </c>
      <c r="C76" s="1" t="s">
        <v>11</v>
      </c>
      <c r="D76" s="1" t="s">
        <v>21</v>
      </c>
      <c r="E76" s="1">
        <v>1526.6</v>
      </c>
      <c r="F76" s="1">
        <v>13</v>
      </c>
      <c r="G76" s="2">
        <v>0.2</v>
      </c>
      <c r="H76" s="3">
        <v>45512</v>
      </c>
      <c r="I76" s="1">
        <v>305.32</v>
      </c>
    </row>
    <row r="77" spans="1:9" x14ac:dyDescent="0.3">
      <c r="A77" s="1" t="s">
        <v>13</v>
      </c>
      <c r="B77" s="1" t="s">
        <v>29</v>
      </c>
      <c r="C77" s="1" t="s">
        <v>11</v>
      </c>
      <c r="D77" s="1" t="s">
        <v>21</v>
      </c>
      <c r="E77" s="1">
        <v>1215.26</v>
      </c>
      <c r="F77" s="1">
        <v>5</v>
      </c>
      <c r="G77" s="2">
        <v>0.15</v>
      </c>
      <c r="H77" s="3">
        <v>45513</v>
      </c>
      <c r="I77" s="1">
        <v>258.24</v>
      </c>
    </row>
    <row r="78" spans="1:9" x14ac:dyDescent="0.3">
      <c r="A78" s="1" t="s">
        <v>19</v>
      </c>
      <c r="B78" s="1" t="s">
        <v>53</v>
      </c>
      <c r="C78" s="1" t="s">
        <v>34</v>
      </c>
      <c r="D78" s="1" t="s">
        <v>27</v>
      </c>
      <c r="E78" s="1">
        <v>1261.3399999999999</v>
      </c>
      <c r="F78" s="1">
        <v>3</v>
      </c>
      <c r="G78" s="2">
        <v>0</v>
      </c>
      <c r="H78" s="3">
        <v>45519</v>
      </c>
      <c r="I78" s="1">
        <v>441.47</v>
      </c>
    </row>
    <row r="79" spans="1:9" x14ac:dyDescent="0.3">
      <c r="A79" s="1" t="s">
        <v>72</v>
      </c>
      <c r="B79" s="1" t="s">
        <v>45</v>
      </c>
      <c r="C79" s="1" t="s">
        <v>24</v>
      </c>
      <c r="D79" s="1" t="s">
        <v>27</v>
      </c>
      <c r="E79" s="1">
        <v>518.07000000000005</v>
      </c>
      <c r="F79" s="1">
        <v>7</v>
      </c>
      <c r="G79" s="2">
        <v>0.05</v>
      </c>
      <c r="H79" s="3">
        <v>45522</v>
      </c>
      <c r="I79" s="1">
        <v>172.26</v>
      </c>
    </row>
    <row r="80" spans="1:9" x14ac:dyDescent="0.3">
      <c r="A80" s="1" t="s">
        <v>30</v>
      </c>
      <c r="B80" s="1" t="s">
        <v>29</v>
      </c>
      <c r="C80" s="1" t="s">
        <v>11</v>
      </c>
      <c r="D80" s="1" t="s">
        <v>39</v>
      </c>
      <c r="E80" s="1">
        <v>1111.3399999999999</v>
      </c>
      <c r="F80" s="1">
        <v>1</v>
      </c>
      <c r="G80" s="2">
        <v>0</v>
      </c>
      <c r="H80" s="3">
        <v>45523</v>
      </c>
      <c r="I80" s="1">
        <v>500.1</v>
      </c>
    </row>
    <row r="81" spans="1:9" x14ac:dyDescent="0.3">
      <c r="A81" s="1" t="s">
        <v>22</v>
      </c>
      <c r="B81" s="1" t="s">
        <v>31</v>
      </c>
      <c r="C81" s="1" t="s">
        <v>18</v>
      </c>
      <c r="D81" s="1" t="s">
        <v>15</v>
      </c>
      <c r="E81" s="1">
        <v>1291.47</v>
      </c>
      <c r="F81" s="1">
        <v>18</v>
      </c>
      <c r="G81" s="2">
        <v>0.1</v>
      </c>
      <c r="H81" s="3">
        <v>45526</v>
      </c>
      <c r="I81" s="1">
        <v>581.16</v>
      </c>
    </row>
    <row r="82" spans="1:9" x14ac:dyDescent="0.3">
      <c r="A82" s="1" t="s">
        <v>25</v>
      </c>
      <c r="B82" s="1" t="s">
        <v>55</v>
      </c>
      <c r="C82" s="1" t="s">
        <v>24</v>
      </c>
      <c r="D82" s="1" t="s">
        <v>12</v>
      </c>
      <c r="E82" s="1">
        <v>679.71</v>
      </c>
      <c r="F82" s="1">
        <v>19</v>
      </c>
      <c r="G82" s="2">
        <v>0</v>
      </c>
      <c r="H82" s="3">
        <v>45534</v>
      </c>
      <c r="I82" s="1">
        <v>271.88</v>
      </c>
    </row>
    <row r="83" spans="1:9" x14ac:dyDescent="0.3">
      <c r="A83" s="1" t="s">
        <v>68</v>
      </c>
      <c r="B83" s="1" t="s">
        <v>33</v>
      </c>
      <c r="C83" s="1" t="s">
        <v>18</v>
      </c>
      <c r="D83" s="1" t="s">
        <v>27</v>
      </c>
      <c r="E83" s="1">
        <v>1143.69</v>
      </c>
      <c r="F83" s="1">
        <v>17</v>
      </c>
      <c r="G83" s="2">
        <v>0</v>
      </c>
      <c r="H83" s="3">
        <v>45534</v>
      </c>
      <c r="I83" s="1">
        <v>400.29</v>
      </c>
    </row>
    <row r="84" spans="1:9"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x14ac:dyDescent="0.3">
      <c r="A86" s="1" t="s">
        <v>58</v>
      </c>
      <c r="B86" s="1" t="s">
        <v>36</v>
      </c>
      <c r="C86" s="1" t="s">
        <v>11</v>
      </c>
      <c r="D86" s="1" t="s">
        <v>15</v>
      </c>
      <c r="E86" s="1">
        <v>1168.8900000000001</v>
      </c>
      <c r="F86" s="1">
        <v>4</v>
      </c>
      <c r="G86" s="2">
        <v>0.1</v>
      </c>
      <c r="H86" s="3">
        <v>45544</v>
      </c>
      <c r="I86" s="1">
        <v>526</v>
      </c>
    </row>
    <row r="87" spans="1:9" x14ac:dyDescent="0.3">
      <c r="A87" s="1" t="s">
        <v>67</v>
      </c>
      <c r="B87" s="1" t="s">
        <v>10</v>
      </c>
      <c r="C87" s="1" t="s">
        <v>20</v>
      </c>
      <c r="D87" s="1" t="s">
        <v>21</v>
      </c>
      <c r="E87" s="1">
        <v>1335.87</v>
      </c>
      <c r="F87" s="1">
        <v>17</v>
      </c>
      <c r="G87" s="2">
        <v>0</v>
      </c>
      <c r="H87" s="3">
        <v>45544</v>
      </c>
      <c r="I87" s="1">
        <v>333.97</v>
      </c>
    </row>
    <row r="88" spans="1:9" x14ac:dyDescent="0.3">
      <c r="A88" s="1" t="s">
        <v>40</v>
      </c>
      <c r="B88" s="1" t="s">
        <v>55</v>
      </c>
      <c r="C88" s="1" t="s">
        <v>18</v>
      </c>
      <c r="D88" s="1" t="s">
        <v>27</v>
      </c>
      <c r="E88" s="1">
        <v>873.7</v>
      </c>
      <c r="F88" s="1">
        <v>9</v>
      </c>
      <c r="G88" s="2">
        <v>0</v>
      </c>
      <c r="H88" s="3">
        <v>45546</v>
      </c>
      <c r="I88" s="1">
        <v>305.8</v>
      </c>
    </row>
    <row r="89" spans="1:9" x14ac:dyDescent="0.3">
      <c r="A89" s="1" t="s">
        <v>72</v>
      </c>
      <c r="B89" s="1" t="s">
        <v>64</v>
      </c>
      <c r="C89" s="1" t="s">
        <v>11</v>
      </c>
      <c r="D89" s="1" t="s">
        <v>39</v>
      </c>
      <c r="E89" s="1">
        <v>1443.98</v>
      </c>
      <c r="F89" s="1">
        <v>19</v>
      </c>
      <c r="G89" s="2">
        <v>0</v>
      </c>
      <c r="H89" s="3">
        <v>45547</v>
      </c>
      <c r="I89" s="1">
        <v>649.79</v>
      </c>
    </row>
    <row r="90" spans="1:9" x14ac:dyDescent="0.3">
      <c r="A90" s="1" t="s">
        <v>40</v>
      </c>
      <c r="B90" s="1" t="s">
        <v>23</v>
      </c>
      <c r="C90" s="1" t="s">
        <v>18</v>
      </c>
      <c r="D90" s="1" t="s">
        <v>39</v>
      </c>
      <c r="E90" s="1">
        <v>1154.33</v>
      </c>
      <c r="F90" s="1">
        <v>11</v>
      </c>
      <c r="G90" s="2">
        <v>0.15</v>
      </c>
      <c r="H90" s="3">
        <v>45549</v>
      </c>
      <c r="I90" s="1">
        <v>441.53</v>
      </c>
    </row>
    <row r="91" spans="1:9" x14ac:dyDescent="0.3">
      <c r="A91" s="1" t="s">
        <v>49</v>
      </c>
      <c r="B91" s="1" t="s">
        <v>50</v>
      </c>
      <c r="C91" s="1" t="s">
        <v>20</v>
      </c>
      <c r="D91" s="1" t="s">
        <v>12</v>
      </c>
      <c r="E91" s="1">
        <v>1264.49</v>
      </c>
      <c r="F91" s="1">
        <v>16</v>
      </c>
      <c r="G91" s="2">
        <v>0.05</v>
      </c>
      <c r="H91" s="3">
        <v>45549</v>
      </c>
      <c r="I91" s="1">
        <v>480.51</v>
      </c>
    </row>
    <row r="92" spans="1:9" x14ac:dyDescent="0.3">
      <c r="A92" s="1" t="s">
        <v>25</v>
      </c>
      <c r="B92" s="1" t="s">
        <v>66</v>
      </c>
      <c r="C92" s="1" t="s">
        <v>11</v>
      </c>
      <c r="D92" s="1" t="s">
        <v>27</v>
      </c>
      <c r="E92" s="1">
        <v>1101.55</v>
      </c>
      <c r="F92" s="1">
        <v>4</v>
      </c>
      <c r="G92" s="2">
        <v>0.1</v>
      </c>
      <c r="H92" s="3">
        <v>45551</v>
      </c>
      <c r="I92" s="1">
        <v>346.99</v>
      </c>
    </row>
    <row r="93" spans="1:9" x14ac:dyDescent="0.3">
      <c r="A93" s="1" t="s">
        <v>73</v>
      </c>
      <c r="B93" s="1" t="s">
        <v>14</v>
      </c>
      <c r="C93" s="1" t="s">
        <v>20</v>
      </c>
      <c r="D93" s="1" t="s">
        <v>27</v>
      </c>
      <c r="E93" s="1">
        <v>727.73</v>
      </c>
      <c r="F93" s="1">
        <v>1</v>
      </c>
      <c r="G93" s="2">
        <v>0.1</v>
      </c>
      <c r="H93" s="3">
        <v>45552</v>
      </c>
      <c r="I93" s="1">
        <v>229.23</v>
      </c>
    </row>
    <row r="94" spans="1:9" x14ac:dyDescent="0.3">
      <c r="A94" s="1" t="s">
        <v>74</v>
      </c>
      <c r="B94" s="1" t="s">
        <v>38</v>
      </c>
      <c r="C94" s="1" t="s">
        <v>18</v>
      </c>
      <c r="D94" s="1" t="s">
        <v>39</v>
      </c>
      <c r="E94" s="1">
        <v>875.41</v>
      </c>
      <c r="F94" s="1">
        <v>13</v>
      </c>
      <c r="G94" s="2">
        <v>0.15</v>
      </c>
      <c r="H94" s="3">
        <v>45552</v>
      </c>
      <c r="I94" s="1">
        <v>334.84</v>
      </c>
    </row>
    <row r="95" spans="1:9" x14ac:dyDescent="0.3">
      <c r="A95" s="1" t="s">
        <v>67</v>
      </c>
      <c r="B95" s="1" t="s">
        <v>23</v>
      </c>
      <c r="C95" s="1" t="s">
        <v>11</v>
      </c>
      <c r="D95" s="1" t="s">
        <v>21</v>
      </c>
      <c r="E95" s="1">
        <v>1158.94</v>
      </c>
      <c r="F95" s="1">
        <v>19</v>
      </c>
      <c r="G95" s="2">
        <v>0.2</v>
      </c>
      <c r="H95" s="3">
        <v>45553</v>
      </c>
      <c r="I95" s="1">
        <v>231.79</v>
      </c>
    </row>
    <row r="96" spans="1:9" x14ac:dyDescent="0.3">
      <c r="A96" s="1" t="s">
        <v>75</v>
      </c>
      <c r="B96" s="1" t="s">
        <v>47</v>
      </c>
      <c r="C96" s="1" t="s">
        <v>20</v>
      </c>
      <c r="D96" s="1" t="s">
        <v>12</v>
      </c>
      <c r="E96" s="1">
        <v>966.3</v>
      </c>
      <c r="F96" s="1">
        <v>2</v>
      </c>
      <c r="G96" s="2">
        <v>0.15</v>
      </c>
      <c r="H96" s="3">
        <v>45557</v>
      </c>
      <c r="I96" s="1">
        <v>328.54</v>
      </c>
    </row>
    <row r="97" spans="1:9" x14ac:dyDescent="0.3">
      <c r="A97" s="1" t="s">
        <v>68</v>
      </c>
      <c r="B97" s="1" t="s">
        <v>17</v>
      </c>
      <c r="C97" s="1" t="s">
        <v>20</v>
      </c>
      <c r="D97" s="1" t="s">
        <v>12</v>
      </c>
      <c r="E97" s="1">
        <v>917.48</v>
      </c>
      <c r="F97" s="1">
        <v>6</v>
      </c>
      <c r="G97" s="2">
        <v>0</v>
      </c>
      <c r="H97" s="3">
        <v>45558</v>
      </c>
      <c r="I97" s="1">
        <v>366.99</v>
      </c>
    </row>
    <row r="98" spans="1:9" x14ac:dyDescent="0.3">
      <c r="A98" s="1" t="s">
        <v>41</v>
      </c>
      <c r="B98" s="1" t="s">
        <v>61</v>
      </c>
      <c r="C98" s="1" t="s">
        <v>11</v>
      </c>
      <c r="D98" s="1" t="s">
        <v>27</v>
      </c>
      <c r="E98" s="1">
        <v>1172.97</v>
      </c>
      <c r="F98" s="1">
        <v>7</v>
      </c>
      <c r="G98" s="2">
        <v>0.15</v>
      </c>
      <c r="H98" s="3">
        <v>45559</v>
      </c>
      <c r="I98" s="1">
        <v>348.96</v>
      </c>
    </row>
    <row r="99" spans="1:9" x14ac:dyDescent="0.3">
      <c r="A99" s="1" t="s">
        <v>57</v>
      </c>
      <c r="B99" s="1" t="s">
        <v>23</v>
      </c>
      <c r="C99" s="1" t="s">
        <v>24</v>
      </c>
      <c r="D99" s="1" t="s">
        <v>15</v>
      </c>
      <c r="E99" s="1">
        <v>1205.82</v>
      </c>
      <c r="F99" s="1">
        <v>11</v>
      </c>
      <c r="G99" s="2">
        <v>0.1</v>
      </c>
      <c r="H99" s="3">
        <v>45559</v>
      </c>
      <c r="I99" s="1">
        <v>542.62</v>
      </c>
    </row>
    <row r="100" spans="1:9" x14ac:dyDescent="0.3">
      <c r="A100" s="1" t="s">
        <v>16</v>
      </c>
      <c r="B100" s="1" t="s">
        <v>64</v>
      </c>
      <c r="C100" s="1" t="s">
        <v>11</v>
      </c>
      <c r="D100" s="1" t="s">
        <v>39</v>
      </c>
      <c r="E100" s="1">
        <v>826.93</v>
      </c>
      <c r="F100" s="1">
        <v>10</v>
      </c>
      <c r="G100" s="2">
        <v>0.2</v>
      </c>
      <c r="H100" s="3">
        <v>45564</v>
      </c>
      <c r="I100" s="1">
        <v>297.69</v>
      </c>
    </row>
    <row r="101" spans="1:9" x14ac:dyDescent="0.3">
      <c r="A101" s="1" t="s">
        <v>67</v>
      </c>
      <c r="B101" s="1" t="s">
        <v>23</v>
      </c>
      <c r="C101" s="1" t="s">
        <v>34</v>
      </c>
      <c r="D101" s="1" t="s">
        <v>15</v>
      </c>
      <c r="E101" s="1">
        <v>902.19</v>
      </c>
      <c r="F101" s="1">
        <v>12</v>
      </c>
      <c r="G101" s="2">
        <v>0</v>
      </c>
      <c r="H101" s="3">
        <v>45564</v>
      </c>
      <c r="I101" s="1">
        <v>451.1</v>
      </c>
    </row>
    <row r="102" spans="1:9" x14ac:dyDescent="0.3">
      <c r="A102" s="1" t="s">
        <v>74</v>
      </c>
      <c r="B102" s="1" t="s">
        <v>38</v>
      </c>
      <c r="C102" s="1" t="s">
        <v>24</v>
      </c>
      <c r="D102" s="1" t="s">
        <v>12</v>
      </c>
      <c r="E102" s="1">
        <v>585.97</v>
      </c>
      <c r="F102" s="1">
        <v>17</v>
      </c>
      <c r="G102" s="2">
        <v>0.1</v>
      </c>
      <c r="H102" s="3">
        <v>45565</v>
      </c>
      <c r="I102" s="1">
        <v>210.95</v>
      </c>
    </row>
    <row r="103" spans="1:9" x14ac:dyDescent="0.3">
      <c r="A103" s="1" t="s">
        <v>60</v>
      </c>
      <c r="B103" s="1" t="s">
        <v>26</v>
      </c>
      <c r="C103" s="1" t="s">
        <v>24</v>
      </c>
      <c r="D103" s="1" t="s">
        <v>15</v>
      </c>
      <c r="E103" s="1">
        <v>990.19</v>
      </c>
      <c r="F103" s="1">
        <v>8</v>
      </c>
      <c r="G103" s="2">
        <v>0.1</v>
      </c>
      <c r="H103" s="3">
        <v>45565</v>
      </c>
      <c r="I103" s="1">
        <v>445.59</v>
      </c>
    </row>
    <row r="104" spans="1:9" x14ac:dyDescent="0.3">
      <c r="A104" s="1" t="s">
        <v>44</v>
      </c>
      <c r="B104" s="1" t="s">
        <v>56</v>
      </c>
      <c r="C104" s="1" t="s">
        <v>34</v>
      </c>
      <c r="D104" s="1" t="s">
        <v>21</v>
      </c>
      <c r="E104" s="1">
        <v>1014.09</v>
      </c>
      <c r="F104" s="1">
        <v>13</v>
      </c>
      <c r="G104" s="2">
        <v>0.2</v>
      </c>
      <c r="H104" s="3">
        <v>45567</v>
      </c>
      <c r="I104" s="1">
        <v>202.82</v>
      </c>
    </row>
    <row r="105" spans="1:9" x14ac:dyDescent="0.3">
      <c r="A105" s="1" t="s">
        <v>13</v>
      </c>
      <c r="B105" s="1" t="s">
        <v>48</v>
      </c>
      <c r="C105" s="1" t="s">
        <v>24</v>
      </c>
      <c r="D105" s="1" t="s">
        <v>21</v>
      </c>
      <c r="E105" s="1">
        <v>925.29</v>
      </c>
      <c r="F105" s="1">
        <v>17</v>
      </c>
      <c r="G105" s="2">
        <v>0</v>
      </c>
      <c r="H105" s="3">
        <v>45570</v>
      </c>
      <c r="I105" s="1">
        <v>231.32</v>
      </c>
    </row>
    <row r="106" spans="1:9" x14ac:dyDescent="0.3">
      <c r="A106" s="1" t="s">
        <v>54</v>
      </c>
      <c r="B106" s="1" t="s">
        <v>47</v>
      </c>
      <c r="C106" s="1" t="s">
        <v>18</v>
      </c>
      <c r="D106" s="1" t="s">
        <v>27</v>
      </c>
      <c r="E106" s="1">
        <v>1286.54</v>
      </c>
      <c r="F106" s="1">
        <v>8</v>
      </c>
      <c r="G106" s="2">
        <v>0</v>
      </c>
      <c r="H106" s="3">
        <v>45575</v>
      </c>
      <c r="I106" s="1">
        <v>450.29</v>
      </c>
    </row>
    <row r="107" spans="1:9" x14ac:dyDescent="0.3">
      <c r="A107" s="1" t="s">
        <v>37</v>
      </c>
      <c r="B107" s="1" t="s">
        <v>64</v>
      </c>
      <c r="C107" s="1" t="s">
        <v>20</v>
      </c>
      <c r="D107" s="1" t="s">
        <v>12</v>
      </c>
      <c r="E107" s="1">
        <v>961.62</v>
      </c>
      <c r="F107" s="1">
        <v>8</v>
      </c>
      <c r="G107" s="2">
        <v>0.2</v>
      </c>
      <c r="H107" s="3">
        <v>45577</v>
      </c>
      <c r="I107" s="1">
        <v>307.72000000000003</v>
      </c>
    </row>
    <row r="108" spans="1:9" x14ac:dyDescent="0.3">
      <c r="A108" s="1" t="s">
        <v>44</v>
      </c>
      <c r="B108" s="1" t="s">
        <v>23</v>
      </c>
      <c r="C108" s="1" t="s">
        <v>18</v>
      </c>
      <c r="D108" s="1" t="s">
        <v>12</v>
      </c>
      <c r="E108" s="1">
        <v>1081.1400000000001</v>
      </c>
      <c r="F108" s="1">
        <v>19</v>
      </c>
      <c r="G108" s="2">
        <v>0.15</v>
      </c>
      <c r="H108" s="3">
        <v>45577</v>
      </c>
      <c r="I108" s="1">
        <v>367.59</v>
      </c>
    </row>
    <row r="109" spans="1:9" x14ac:dyDescent="0.3">
      <c r="A109" s="1" t="s">
        <v>58</v>
      </c>
      <c r="B109" s="1" t="s">
        <v>23</v>
      </c>
      <c r="C109" s="1" t="s">
        <v>11</v>
      </c>
      <c r="D109" s="1" t="s">
        <v>15</v>
      </c>
      <c r="E109" s="1">
        <v>1923.66</v>
      </c>
      <c r="F109" s="1">
        <v>9</v>
      </c>
      <c r="G109" s="2">
        <v>0.2</v>
      </c>
      <c r="H109" s="3">
        <v>45580</v>
      </c>
      <c r="I109" s="1">
        <v>769.46</v>
      </c>
    </row>
    <row r="110" spans="1:9" x14ac:dyDescent="0.3">
      <c r="A110" s="1" t="s">
        <v>54</v>
      </c>
      <c r="B110" s="1" t="s">
        <v>66</v>
      </c>
      <c r="C110" s="1" t="s">
        <v>34</v>
      </c>
      <c r="D110" s="1" t="s">
        <v>15</v>
      </c>
      <c r="E110" s="1">
        <v>728.71</v>
      </c>
      <c r="F110" s="1">
        <v>14</v>
      </c>
      <c r="G110" s="2">
        <v>0.1</v>
      </c>
      <c r="H110" s="3">
        <v>45581</v>
      </c>
      <c r="I110" s="1">
        <v>327.92</v>
      </c>
    </row>
    <row r="111" spans="1:9" x14ac:dyDescent="0.3">
      <c r="A111" s="1" t="s">
        <v>9</v>
      </c>
      <c r="B111" s="1" t="s">
        <v>33</v>
      </c>
      <c r="C111" s="1" t="s">
        <v>34</v>
      </c>
      <c r="D111" s="1" t="s">
        <v>15</v>
      </c>
      <c r="E111" s="1">
        <v>1301.8900000000001</v>
      </c>
      <c r="F111" s="1">
        <v>7</v>
      </c>
      <c r="G111" s="2">
        <v>0.15</v>
      </c>
      <c r="H111" s="3">
        <v>45581</v>
      </c>
      <c r="I111" s="1">
        <v>553.29999999999995</v>
      </c>
    </row>
    <row r="112" spans="1:9" x14ac:dyDescent="0.3">
      <c r="A112" s="1" t="s">
        <v>70</v>
      </c>
      <c r="B112" s="1" t="s">
        <v>66</v>
      </c>
      <c r="C112" s="1" t="s">
        <v>18</v>
      </c>
      <c r="D112" s="1" t="s">
        <v>12</v>
      </c>
      <c r="E112" s="1">
        <v>980.18</v>
      </c>
      <c r="F112" s="1">
        <v>16</v>
      </c>
      <c r="G112" s="2">
        <v>0.1</v>
      </c>
      <c r="H112" s="3">
        <v>45582</v>
      </c>
      <c r="I112" s="1">
        <v>352.86</v>
      </c>
    </row>
    <row r="113" spans="1:9" x14ac:dyDescent="0.3">
      <c r="A113" s="1" t="s">
        <v>74</v>
      </c>
      <c r="B113" s="1" t="s">
        <v>23</v>
      </c>
      <c r="C113" s="1" t="s">
        <v>11</v>
      </c>
      <c r="D113" s="1" t="s">
        <v>15</v>
      </c>
      <c r="E113" s="1">
        <v>697.57</v>
      </c>
      <c r="F113" s="1">
        <v>17</v>
      </c>
      <c r="G113" s="2">
        <v>0.1</v>
      </c>
      <c r="H113" s="3">
        <v>45584</v>
      </c>
      <c r="I113" s="1">
        <v>313.91000000000003</v>
      </c>
    </row>
    <row r="114" spans="1:9" x14ac:dyDescent="0.3">
      <c r="A114" s="1" t="s">
        <v>46</v>
      </c>
      <c r="B114" s="1" t="s">
        <v>71</v>
      </c>
      <c r="C114" s="1" t="s">
        <v>11</v>
      </c>
      <c r="D114" s="1" t="s">
        <v>27</v>
      </c>
      <c r="E114" s="1">
        <v>1193.6099999999999</v>
      </c>
      <c r="F114" s="1">
        <v>1</v>
      </c>
      <c r="G114" s="2">
        <v>0.15</v>
      </c>
      <c r="H114" s="3">
        <v>45584</v>
      </c>
      <c r="I114" s="1">
        <v>355.1</v>
      </c>
    </row>
    <row r="115" spans="1:9" x14ac:dyDescent="0.3">
      <c r="A115" s="1" t="s">
        <v>32</v>
      </c>
      <c r="B115" s="1" t="s">
        <v>38</v>
      </c>
      <c r="C115" s="1" t="s">
        <v>20</v>
      </c>
      <c r="D115" s="1" t="s">
        <v>21</v>
      </c>
      <c r="E115" s="1">
        <v>771.02</v>
      </c>
      <c r="F115" s="1">
        <v>1</v>
      </c>
      <c r="G115" s="2">
        <v>0</v>
      </c>
      <c r="H115" s="3">
        <v>45585</v>
      </c>
      <c r="I115" s="1">
        <v>192.76</v>
      </c>
    </row>
    <row r="116" spans="1:9" x14ac:dyDescent="0.3">
      <c r="A116" s="1" t="s">
        <v>67</v>
      </c>
      <c r="B116" s="1" t="s">
        <v>69</v>
      </c>
      <c r="C116" s="1" t="s">
        <v>24</v>
      </c>
      <c r="D116" s="1" t="s">
        <v>15</v>
      </c>
      <c r="E116" s="1">
        <v>661.09</v>
      </c>
      <c r="F116" s="1">
        <v>1</v>
      </c>
      <c r="G116" s="2">
        <v>0.2</v>
      </c>
      <c r="H116" s="3">
        <v>45593</v>
      </c>
      <c r="I116" s="1">
        <v>264.44</v>
      </c>
    </row>
    <row r="117" spans="1:9" x14ac:dyDescent="0.3">
      <c r="A117" s="1" t="s">
        <v>13</v>
      </c>
      <c r="B117" s="1" t="s">
        <v>55</v>
      </c>
      <c r="C117" s="1" t="s">
        <v>11</v>
      </c>
      <c r="D117" s="1" t="s">
        <v>21</v>
      </c>
      <c r="E117" s="1">
        <v>688.83</v>
      </c>
      <c r="F117" s="1">
        <v>15</v>
      </c>
      <c r="G117" s="2">
        <v>0</v>
      </c>
      <c r="H117" s="3">
        <v>45595</v>
      </c>
      <c r="I117" s="1">
        <v>172.21</v>
      </c>
    </row>
    <row r="118" spans="1:9" x14ac:dyDescent="0.3">
      <c r="A118" s="1" t="s">
        <v>73</v>
      </c>
      <c r="B118" s="1" t="s">
        <v>29</v>
      </c>
      <c r="C118" s="1" t="s">
        <v>34</v>
      </c>
      <c r="D118" s="1" t="s">
        <v>12</v>
      </c>
      <c r="E118" s="1">
        <v>1249.0999999999999</v>
      </c>
      <c r="F118" s="1">
        <v>4</v>
      </c>
      <c r="G118" s="2">
        <v>0.05</v>
      </c>
      <c r="H118" s="3">
        <v>45597</v>
      </c>
      <c r="I118" s="1">
        <v>474.66</v>
      </c>
    </row>
    <row r="119" spans="1:9"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x14ac:dyDescent="0.3">
      <c r="A121" s="1" t="s">
        <v>30</v>
      </c>
      <c r="B121" s="1" t="s">
        <v>59</v>
      </c>
      <c r="C121" s="1" t="s">
        <v>24</v>
      </c>
      <c r="D121" s="1" t="s">
        <v>27</v>
      </c>
      <c r="E121" s="1">
        <v>957.29</v>
      </c>
      <c r="F121" s="1">
        <v>4</v>
      </c>
      <c r="G121" s="2">
        <v>0.05</v>
      </c>
      <c r="H121" s="3">
        <v>45605</v>
      </c>
      <c r="I121" s="1">
        <v>318.3</v>
      </c>
    </row>
    <row r="122" spans="1:9" x14ac:dyDescent="0.3">
      <c r="A122" s="1" t="s">
        <v>28</v>
      </c>
      <c r="B122" s="1" t="s">
        <v>45</v>
      </c>
      <c r="C122" s="1" t="s">
        <v>24</v>
      </c>
      <c r="D122" s="1" t="s">
        <v>27</v>
      </c>
      <c r="E122" s="1">
        <v>1077.92</v>
      </c>
      <c r="F122" s="1">
        <v>3</v>
      </c>
      <c r="G122" s="2">
        <v>0.05</v>
      </c>
      <c r="H122" s="3">
        <v>45608</v>
      </c>
      <c r="I122" s="1">
        <v>358.41</v>
      </c>
    </row>
    <row r="123" spans="1:9" x14ac:dyDescent="0.3">
      <c r="A123" s="1" t="s">
        <v>52</v>
      </c>
      <c r="B123" s="1" t="s">
        <v>50</v>
      </c>
      <c r="C123" s="1" t="s">
        <v>20</v>
      </c>
      <c r="D123" s="1" t="s">
        <v>15</v>
      </c>
      <c r="E123" s="1">
        <v>1163.01</v>
      </c>
      <c r="F123" s="1">
        <v>5</v>
      </c>
      <c r="G123" s="2">
        <v>0</v>
      </c>
      <c r="H123" s="3">
        <v>45611</v>
      </c>
      <c r="I123" s="1">
        <v>581.5</v>
      </c>
    </row>
    <row r="124" spans="1:9" x14ac:dyDescent="0.3">
      <c r="A124" s="1" t="s">
        <v>54</v>
      </c>
      <c r="B124" s="1" t="s">
        <v>45</v>
      </c>
      <c r="C124" s="1" t="s">
        <v>18</v>
      </c>
      <c r="D124" s="1" t="s">
        <v>39</v>
      </c>
      <c r="E124" s="1">
        <v>1014.56</v>
      </c>
      <c r="F124" s="1">
        <v>10</v>
      </c>
      <c r="G124" s="2">
        <v>0.1</v>
      </c>
      <c r="H124" s="3">
        <v>45612</v>
      </c>
      <c r="I124" s="1">
        <v>410.9</v>
      </c>
    </row>
    <row r="125" spans="1:9" x14ac:dyDescent="0.3">
      <c r="A125" s="1" t="s">
        <v>9</v>
      </c>
      <c r="B125" s="1" t="s">
        <v>17</v>
      </c>
      <c r="C125" s="1" t="s">
        <v>20</v>
      </c>
      <c r="D125" s="1" t="s">
        <v>21</v>
      </c>
      <c r="E125" s="1">
        <v>718.04</v>
      </c>
      <c r="F125" s="1">
        <v>14</v>
      </c>
      <c r="G125" s="2">
        <v>0</v>
      </c>
      <c r="H125" s="3">
        <v>45613</v>
      </c>
      <c r="I125" s="1">
        <v>179.51</v>
      </c>
    </row>
    <row r="126" spans="1:9" x14ac:dyDescent="0.3">
      <c r="A126" s="1" t="s">
        <v>72</v>
      </c>
      <c r="B126" s="1" t="s">
        <v>17</v>
      </c>
      <c r="C126" s="1" t="s">
        <v>34</v>
      </c>
      <c r="D126" s="1" t="s">
        <v>15</v>
      </c>
      <c r="E126" s="1">
        <v>1277.8499999999999</v>
      </c>
      <c r="F126" s="1">
        <v>18</v>
      </c>
      <c r="G126" s="2">
        <v>0.2</v>
      </c>
      <c r="H126" s="3">
        <v>45613</v>
      </c>
      <c r="I126" s="1">
        <v>511.14</v>
      </c>
    </row>
    <row r="127" spans="1:9" x14ac:dyDescent="0.3">
      <c r="A127" s="1" t="s">
        <v>70</v>
      </c>
      <c r="B127" s="1" t="s">
        <v>23</v>
      </c>
      <c r="C127" s="1" t="s">
        <v>24</v>
      </c>
      <c r="D127" s="1" t="s">
        <v>21</v>
      </c>
      <c r="E127" s="1">
        <v>706.73</v>
      </c>
      <c r="F127" s="1">
        <v>1</v>
      </c>
      <c r="G127" s="2">
        <v>0.15</v>
      </c>
      <c r="H127" s="3">
        <v>45613</v>
      </c>
      <c r="I127" s="1">
        <v>150.18</v>
      </c>
    </row>
    <row r="128" spans="1:9" x14ac:dyDescent="0.3">
      <c r="A128" s="1" t="s">
        <v>65</v>
      </c>
      <c r="B128" s="1" t="s">
        <v>50</v>
      </c>
      <c r="C128" s="1" t="s">
        <v>18</v>
      </c>
      <c r="D128" s="1" t="s">
        <v>21</v>
      </c>
      <c r="E128" s="1">
        <v>1410.59</v>
      </c>
      <c r="F128" s="1">
        <v>15</v>
      </c>
      <c r="G128" s="2">
        <v>0</v>
      </c>
      <c r="H128" s="3">
        <v>45615</v>
      </c>
      <c r="I128" s="1">
        <v>352.65</v>
      </c>
    </row>
    <row r="129" spans="1:9" x14ac:dyDescent="0.3">
      <c r="A129" s="1" t="s">
        <v>32</v>
      </c>
      <c r="B129" s="1" t="s">
        <v>61</v>
      </c>
      <c r="C129" s="1" t="s">
        <v>20</v>
      </c>
      <c r="D129" s="1" t="s">
        <v>27</v>
      </c>
      <c r="E129" s="1">
        <v>1350.33</v>
      </c>
      <c r="F129" s="1">
        <v>10</v>
      </c>
      <c r="G129" s="2">
        <v>0</v>
      </c>
      <c r="H129" s="3">
        <v>45615</v>
      </c>
      <c r="I129" s="1">
        <v>472.62</v>
      </c>
    </row>
    <row r="130" spans="1:9" x14ac:dyDescent="0.3">
      <c r="A130" s="1" t="s">
        <v>41</v>
      </c>
      <c r="B130" s="1" t="s">
        <v>45</v>
      </c>
      <c r="C130" s="1" t="s">
        <v>18</v>
      </c>
      <c r="D130" s="1" t="s">
        <v>21</v>
      </c>
      <c r="E130" s="1">
        <v>919.18</v>
      </c>
      <c r="F130" s="1">
        <v>4</v>
      </c>
      <c r="G130" s="2">
        <v>0.15</v>
      </c>
      <c r="H130" s="3">
        <v>45615</v>
      </c>
      <c r="I130" s="1">
        <v>195.33</v>
      </c>
    </row>
    <row r="131" spans="1:9" x14ac:dyDescent="0.3">
      <c r="A131" s="1" t="s">
        <v>74</v>
      </c>
      <c r="B131" s="1" t="s">
        <v>23</v>
      </c>
      <c r="C131" s="1" t="s">
        <v>11</v>
      </c>
      <c r="D131" s="1" t="s">
        <v>21</v>
      </c>
      <c r="E131" s="1">
        <v>258.51</v>
      </c>
      <c r="F131" s="1">
        <v>19</v>
      </c>
      <c r="G131" s="2">
        <v>0</v>
      </c>
      <c r="H131" s="3">
        <v>45616</v>
      </c>
      <c r="I131" s="1">
        <v>64.63</v>
      </c>
    </row>
    <row r="132" spans="1:9" x14ac:dyDescent="0.3">
      <c r="A132" s="1" t="s">
        <v>63</v>
      </c>
      <c r="B132" s="1" t="s">
        <v>61</v>
      </c>
      <c r="C132" s="1" t="s">
        <v>18</v>
      </c>
      <c r="D132" s="1" t="s">
        <v>12</v>
      </c>
      <c r="E132" s="1">
        <v>1213.48</v>
      </c>
      <c r="F132" s="1">
        <v>5</v>
      </c>
      <c r="G132" s="2">
        <v>0.05</v>
      </c>
      <c r="H132" s="3">
        <v>45616</v>
      </c>
      <c r="I132" s="1">
        <v>461.12</v>
      </c>
    </row>
    <row r="133" spans="1:9" x14ac:dyDescent="0.3">
      <c r="A133" s="1" t="s">
        <v>57</v>
      </c>
      <c r="B133" s="1" t="s">
        <v>38</v>
      </c>
      <c r="C133" s="1" t="s">
        <v>34</v>
      </c>
      <c r="D133" s="1" t="s">
        <v>12</v>
      </c>
      <c r="E133" s="1">
        <v>1150.28</v>
      </c>
      <c r="F133" s="1">
        <v>8</v>
      </c>
      <c r="G133" s="2">
        <v>0.05</v>
      </c>
      <c r="H133" s="3">
        <v>45622</v>
      </c>
      <c r="I133" s="1">
        <v>437.11</v>
      </c>
    </row>
    <row r="134" spans="1:9" x14ac:dyDescent="0.3">
      <c r="A134" s="1" t="s">
        <v>37</v>
      </c>
      <c r="B134" s="1" t="s">
        <v>71</v>
      </c>
      <c r="C134" s="1" t="s">
        <v>20</v>
      </c>
      <c r="D134" s="1" t="s">
        <v>27</v>
      </c>
      <c r="E134" s="1">
        <v>853.86</v>
      </c>
      <c r="F134" s="1">
        <v>8</v>
      </c>
      <c r="G134" s="2">
        <v>0.1</v>
      </c>
      <c r="H134" s="3">
        <v>45622</v>
      </c>
      <c r="I134" s="1">
        <v>268.97000000000003</v>
      </c>
    </row>
    <row r="135" spans="1:9" x14ac:dyDescent="0.3">
      <c r="A135" s="1" t="s">
        <v>75</v>
      </c>
      <c r="B135" s="1" t="s">
        <v>45</v>
      </c>
      <c r="C135" s="1" t="s">
        <v>20</v>
      </c>
      <c r="D135" s="1" t="s">
        <v>21</v>
      </c>
      <c r="E135" s="1">
        <v>1061.04</v>
      </c>
      <c r="F135" s="1">
        <v>1</v>
      </c>
      <c r="G135" s="2">
        <v>0</v>
      </c>
      <c r="H135" s="3">
        <v>45624</v>
      </c>
      <c r="I135" s="1">
        <v>265.26</v>
      </c>
    </row>
    <row r="136" spans="1:9" x14ac:dyDescent="0.3">
      <c r="A136" s="1" t="s">
        <v>28</v>
      </c>
      <c r="B136" s="1" t="s">
        <v>43</v>
      </c>
      <c r="C136" s="1" t="s">
        <v>11</v>
      </c>
      <c r="D136" s="1" t="s">
        <v>21</v>
      </c>
      <c r="E136" s="1">
        <v>894.55</v>
      </c>
      <c r="F136" s="1">
        <v>19</v>
      </c>
      <c r="G136" s="2">
        <v>0.2</v>
      </c>
      <c r="H136" s="3">
        <v>45625</v>
      </c>
      <c r="I136" s="1">
        <v>178.91</v>
      </c>
    </row>
    <row r="137" spans="1:9" x14ac:dyDescent="0.3">
      <c r="A137" s="1" t="s">
        <v>25</v>
      </c>
      <c r="B137" s="1" t="s">
        <v>38</v>
      </c>
      <c r="C137" s="1" t="s">
        <v>24</v>
      </c>
      <c r="D137" s="1" t="s">
        <v>39</v>
      </c>
      <c r="E137" s="1">
        <v>833.91</v>
      </c>
      <c r="F137" s="1">
        <v>3</v>
      </c>
      <c r="G137" s="2">
        <v>0.05</v>
      </c>
      <c r="H137" s="3">
        <v>45626</v>
      </c>
      <c r="I137" s="1">
        <v>356.5</v>
      </c>
    </row>
    <row r="138" spans="1:9" x14ac:dyDescent="0.3">
      <c r="A138" s="1" t="s">
        <v>58</v>
      </c>
      <c r="B138" s="1" t="s">
        <v>71</v>
      </c>
      <c r="C138" s="1" t="s">
        <v>11</v>
      </c>
      <c r="D138" s="1" t="s">
        <v>27</v>
      </c>
      <c r="E138" s="1">
        <v>820.19</v>
      </c>
      <c r="F138" s="1">
        <v>4</v>
      </c>
      <c r="G138" s="2">
        <v>0.2</v>
      </c>
      <c r="H138" s="3">
        <v>45630</v>
      </c>
      <c r="I138" s="1">
        <v>229.65</v>
      </c>
    </row>
    <row r="139" spans="1:9" x14ac:dyDescent="0.3">
      <c r="A139" s="1" t="s">
        <v>58</v>
      </c>
      <c r="B139" s="1" t="s">
        <v>38</v>
      </c>
      <c r="C139" s="1" t="s">
        <v>34</v>
      </c>
      <c r="D139" s="1" t="s">
        <v>21</v>
      </c>
      <c r="E139" s="1">
        <v>511.74</v>
      </c>
      <c r="F139" s="1">
        <v>8</v>
      </c>
      <c r="G139" s="2">
        <v>0.05</v>
      </c>
      <c r="H139" s="3">
        <v>45631</v>
      </c>
      <c r="I139" s="1">
        <v>121.54</v>
      </c>
    </row>
    <row r="140" spans="1:9" x14ac:dyDescent="0.3">
      <c r="A140" s="1" t="s">
        <v>65</v>
      </c>
      <c r="B140" s="1" t="s">
        <v>61</v>
      </c>
      <c r="C140" s="1" t="s">
        <v>20</v>
      </c>
      <c r="D140" s="1" t="s">
        <v>27</v>
      </c>
      <c r="E140" s="1">
        <v>806.03</v>
      </c>
      <c r="F140" s="1">
        <v>19</v>
      </c>
      <c r="G140" s="2">
        <v>0.05</v>
      </c>
      <c r="H140" s="3">
        <v>45638</v>
      </c>
      <c r="I140" s="1">
        <v>268</v>
      </c>
    </row>
    <row r="141" spans="1:9" x14ac:dyDescent="0.3">
      <c r="A141" s="1" t="s">
        <v>28</v>
      </c>
      <c r="B141" s="1" t="s">
        <v>26</v>
      </c>
      <c r="C141" s="1" t="s">
        <v>34</v>
      </c>
      <c r="D141" s="1" t="s">
        <v>27</v>
      </c>
      <c r="E141" s="1">
        <v>1432.47</v>
      </c>
      <c r="F141" s="1">
        <v>16</v>
      </c>
      <c r="G141" s="2">
        <v>0.15</v>
      </c>
      <c r="H141" s="3">
        <v>45640</v>
      </c>
      <c r="I141" s="1">
        <v>426.16</v>
      </c>
    </row>
    <row r="142" spans="1:9" x14ac:dyDescent="0.3">
      <c r="A142" s="1" t="s">
        <v>74</v>
      </c>
      <c r="B142" s="1" t="s">
        <v>29</v>
      </c>
      <c r="C142" s="1" t="s">
        <v>34</v>
      </c>
      <c r="D142" s="1" t="s">
        <v>21</v>
      </c>
      <c r="E142" s="1">
        <v>1488.58</v>
      </c>
      <c r="F142" s="1">
        <v>10</v>
      </c>
      <c r="G142" s="2">
        <v>0.15</v>
      </c>
      <c r="H142" s="3">
        <v>45640</v>
      </c>
      <c r="I142" s="1">
        <v>316.32</v>
      </c>
    </row>
    <row r="143" spans="1:9" x14ac:dyDescent="0.3">
      <c r="A143" s="1" t="s">
        <v>30</v>
      </c>
      <c r="B143" s="1" t="s">
        <v>66</v>
      </c>
      <c r="C143" s="1" t="s">
        <v>18</v>
      </c>
      <c r="D143" s="1" t="s">
        <v>12</v>
      </c>
      <c r="E143" s="1">
        <v>1231.26</v>
      </c>
      <c r="F143" s="1">
        <v>9</v>
      </c>
      <c r="G143" s="2">
        <v>0</v>
      </c>
      <c r="H143" s="3">
        <v>45646</v>
      </c>
      <c r="I143" s="1">
        <v>492.5</v>
      </c>
    </row>
    <row r="144" spans="1:9" x14ac:dyDescent="0.3">
      <c r="A144" s="1" t="s">
        <v>30</v>
      </c>
      <c r="B144" s="1" t="s">
        <v>43</v>
      </c>
      <c r="C144" s="1" t="s">
        <v>11</v>
      </c>
      <c r="D144" s="1" t="s">
        <v>21</v>
      </c>
      <c r="E144" s="1">
        <v>1161.67</v>
      </c>
      <c r="F144" s="1">
        <v>19</v>
      </c>
      <c r="G144" s="2">
        <v>0.2</v>
      </c>
      <c r="H144" s="3">
        <v>45647</v>
      </c>
      <c r="I144" s="1">
        <v>232.33</v>
      </c>
    </row>
    <row r="145" spans="1:9" x14ac:dyDescent="0.3">
      <c r="A145" s="1" t="s">
        <v>49</v>
      </c>
      <c r="B145" s="1" t="s">
        <v>45</v>
      </c>
      <c r="C145" s="1" t="s">
        <v>34</v>
      </c>
      <c r="D145" s="1" t="s">
        <v>39</v>
      </c>
      <c r="E145" s="1">
        <v>388.23</v>
      </c>
      <c r="F145" s="1">
        <v>16</v>
      </c>
      <c r="G145" s="2">
        <v>0.05</v>
      </c>
      <c r="H145" s="3">
        <v>45650</v>
      </c>
      <c r="I145" s="1">
        <v>165.97</v>
      </c>
    </row>
    <row r="146" spans="1:9" x14ac:dyDescent="0.3">
      <c r="A146" s="1" t="s">
        <v>72</v>
      </c>
      <c r="B146" s="1" t="s">
        <v>31</v>
      </c>
      <c r="C146" s="1" t="s">
        <v>24</v>
      </c>
      <c r="D146" s="1" t="s">
        <v>15</v>
      </c>
      <c r="E146" s="1">
        <v>1589.42</v>
      </c>
      <c r="F146" s="1">
        <v>6</v>
      </c>
      <c r="G146" s="2">
        <v>0.15</v>
      </c>
      <c r="H146" s="3">
        <v>45651</v>
      </c>
      <c r="I146" s="1">
        <v>675.5</v>
      </c>
    </row>
    <row r="147" spans="1:9" x14ac:dyDescent="0.3">
      <c r="A147" s="1" t="s">
        <v>28</v>
      </c>
      <c r="B147" s="1" t="s">
        <v>71</v>
      </c>
      <c r="C147" s="1" t="s">
        <v>24</v>
      </c>
      <c r="D147" s="1" t="s">
        <v>15</v>
      </c>
      <c r="E147" s="1">
        <v>336.66</v>
      </c>
      <c r="F147" s="1">
        <v>13</v>
      </c>
      <c r="G147" s="2">
        <v>0.2</v>
      </c>
      <c r="H147" s="3">
        <v>45651</v>
      </c>
      <c r="I147" s="1">
        <v>134.66</v>
      </c>
    </row>
    <row r="148" spans="1:9" x14ac:dyDescent="0.3">
      <c r="A148" s="1" t="s">
        <v>49</v>
      </c>
      <c r="B148" s="1" t="s">
        <v>23</v>
      </c>
      <c r="C148" s="1" t="s">
        <v>11</v>
      </c>
      <c r="D148" s="1" t="s">
        <v>12</v>
      </c>
      <c r="E148" s="1">
        <v>1353.79</v>
      </c>
      <c r="F148" s="1">
        <v>14</v>
      </c>
      <c r="G148" s="2">
        <v>0.1</v>
      </c>
      <c r="H148" s="3">
        <v>45656</v>
      </c>
      <c r="I148" s="1">
        <v>487.36</v>
      </c>
    </row>
    <row r="149" spans="1:9" x14ac:dyDescent="0.3">
      <c r="A149" s="1" t="s">
        <v>63</v>
      </c>
      <c r="B149" s="1" t="s">
        <v>69</v>
      </c>
      <c r="C149" s="1" t="s">
        <v>34</v>
      </c>
      <c r="D149" s="1" t="s">
        <v>15</v>
      </c>
      <c r="E149" s="1">
        <v>662.61</v>
      </c>
      <c r="F149" s="1">
        <v>11</v>
      </c>
      <c r="G149" s="2">
        <v>0.05</v>
      </c>
      <c r="H149" s="3">
        <v>45658</v>
      </c>
      <c r="I149" s="1">
        <v>314.74</v>
      </c>
    </row>
    <row r="150" spans="1:9" x14ac:dyDescent="0.3">
      <c r="A150" s="1" t="s">
        <v>52</v>
      </c>
      <c r="B150" s="1" t="s">
        <v>48</v>
      </c>
      <c r="C150" s="1" t="s">
        <v>24</v>
      </c>
      <c r="D150" s="1" t="s">
        <v>39</v>
      </c>
      <c r="E150" s="1">
        <v>309.42</v>
      </c>
      <c r="F150" s="1">
        <v>1</v>
      </c>
      <c r="G150" s="2">
        <v>0.2</v>
      </c>
      <c r="H150" s="3">
        <v>45658</v>
      </c>
      <c r="I150" s="1">
        <v>111.39</v>
      </c>
    </row>
    <row r="151" spans="1:9" x14ac:dyDescent="0.3">
      <c r="A151" s="1" t="s">
        <v>63</v>
      </c>
      <c r="B151" s="1" t="s">
        <v>29</v>
      </c>
      <c r="C151" s="1" t="s">
        <v>24</v>
      </c>
      <c r="D151" s="1" t="s">
        <v>12</v>
      </c>
      <c r="E151" s="1">
        <v>884.63</v>
      </c>
      <c r="F151" s="1">
        <v>18</v>
      </c>
      <c r="G151" s="2">
        <v>0.1</v>
      </c>
      <c r="H151" s="3">
        <v>45659</v>
      </c>
      <c r="I151" s="1">
        <v>318.47000000000003</v>
      </c>
    </row>
    <row r="152" spans="1:9" x14ac:dyDescent="0.3">
      <c r="A152" s="1" t="s">
        <v>52</v>
      </c>
      <c r="B152" s="1" t="s">
        <v>23</v>
      </c>
      <c r="C152" s="1" t="s">
        <v>34</v>
      </c>
      <c r="D152" s="1" t="s">
        <v>39</v>
      </c>
      <c r="E152" s="1">
        <v>745.05</v>
      </c>
      <c r="F152" s="1">
        <v>10</v>
      </c>
      <c r="G152" s="2">
        <v>0.1</v>
      </c>
      <c r="H152" s="3">
        <v>45660</v>
      </c>
      <c r="I152" s="1">
        <v>301.75</v>
      </c>
    </row>
    <row r="153" spans="1:9" x14ac:dyDescent="0.3">
      <c r="A153" s="1" t="s">
        <v>60</v>
      </c>
      <c r="B153" s="1" t="s">
        <v>17</v>
      </c>
      <c r="C153" s="1" t="s">
        <v>20</v>
      </c>
      <c r="D153" s="1" t="s">
        <v>15</v>
      </c>
      <c r="E153" s="1">
        <v>870.23</v>
      </c>
      <c r="F153" s="1">
        <v>5</v>
      </c>
      <c r="G153" s="2">
        <v>0.05</v>
      </c>
      <c r="H153" s="3">
        <v>45660</v>
      </c>
      <c r="I153" s="1">
        <v>413.36</v>
      </c>
    </row>
    <row r="154" spans="1:9" x14ac:dyDescent="0.3">
      <c r="A154" s="1" t="s">
        <v>35</v>
      </c>
      <c r="B154" s="1" t="s">
        <v>29</v>
      </c>
      <c r="C154" s="1" t="s">
        <v>11</v>
      </c>
      <c r="D154" s="1" t="s">
        <v>27</v>
      </c>
      <c r="E154" s="1">
        <v>862.19</v>
      </c>
      <c r="F154" s="1">
        <v>18</v>
      </c>
      <c r="G154" s="2">
        <v>0.05</v>
      </c>
      <c r="H154" s="3">
        <v>45663</v>
      </c>
      <c r="I154" s="1">
        <v>286.68</v>
      </c>
    </row>
    <row r="155" spans="1:9" x14ac:dyDescent="0.3">
      <c r="A155" s="1" t="s">
        <v>73</v>
      </c>
      <c r="B155" s="1" t="s">
        <v>59</v>
      </c>
      <c r="C155" s="1" t="s">
        <v>24</v>
      </c>
      <c r="D155" s="1" t="s">
        <v>15</v>
      </c>
      <c r="E155" s="1">
        <v>1171.18</v>
      </c>
      <c r="F155" s="1">
        <v>19</v>
      </c>
      <c r="G155" s="2">
        <v>0.05</v>
      </c>
      <c r="H155" s="3">
        <v>45667</v>
      </c>
      <c r="I155" s="1">
        <v>556.30999999999995</v>
      </c>
    </row>
    <row r="156" spans="1:9" x14ac:dyDescent="0.3">
      <c r="A156" s="1" t="s">
        <v>58</v>
      </c>
      <c r="B156" s="1" t="s">
        <v>14</v>
      </c>
      <c r="C156" s="1" t="s">
        <v>20</v>
      </c>
      <c r="D156" s="1" t="s">
        <v>27</v>
      </c>
      <c r="E156" s="1">
        <v>1054.56</v>
      </c>
      <c r="F156" s="1">
        <v>11</v>
      </c>
      <c r="G156" s="2">
        <v>0.1</v>
      </c>
      <c r="H156" s="3">
        <v>45669</v>
      </c>
      <c r="I156" s="1">
        <v>332.19</v>
      </c>
    </row>
    <row r="157" spans="1:9" x14ac:dyDescent="0.3">
      <c r="A157" s="1" t="s">
        <v>58</v>
      </c>
      <c r="B157" s="1" t="s">
        <v>23</v>
      </c>
      <c r="C157" s="1" t="s">
        <v>24</v>
      </c>
      <c r="D157" s="1" t="s">
        <v>21</v>
      </c>
      <c r="E157" s="1">
        <v>1681.21</v>
      </c>
      <c r="F157" s="1">
        <v>5</v>
      </c>
      <c r="G157" s="2">
        <v>0.2</v>
      </c>
      <c r="H157" s="3">
        <v>45670</v>
      </c>
      <c r="I157" s="1">
        <v>336.24</v>
      </c>
    </row>
    <row r="158" spans="1:9" x14ac:dyDescent="0.3">
      <c r="A158" s="1" t="s">
        <v>58</v>
      </c>
      <c r="B158" s="1" t="s">
        <v>36</v>
      </c>
      <c r="C158" s="1" t="s">
        <v>11</v>
      </c>
      <c r="D158" s="1" t="s">
        <v>15</v>
      </c>
      <c r="E158" s="1">
        <v>379.77</v>
      </c>
      <c r="F158" s="1">
        <v>9</v>
      </c>
      <c r="G158" s="2">
        <v>0.05</v>
      </c>
      <c r="H158" s="3">
        <v>45673</v>
      </c>
      <c r="I158" s="1">
        <v>180.39</v>
      </c>
    </row>
    <row r="159" spans="1:9" x14ac:dyDescent="0.3">
      <c r="A159" s="1" t="s">
        <v>44</v>
      </c>
      <c r="B159" s="1" t="s">
        <v>45</v>
      </c>
      <c r="C159" s="1" t="s">
        <v>34</v>
      </c>
      <c r="D159" s="1" t="s">
        <v>15</v>
      </c>
      <c r="E159" s="1">
        <v>1076.33</v>
      </c>
      <c r="F159" s="1">
        <v>2</v>
      </c>
      <c r="G159" s="2">
        <v>0.1</v>
      </c>
      <c r="H159" s="3">
        <v>45674</v>
      </c>
      <c r="I159" s="1">
        <v>484.35</v>
      </c>
    </row>
    <row r="160" spans="1:9" x14ac:dyDescent="0.3">
      <c r="A160" s="1" t="s">
        <v>44</v>
      </c>
      <c r="B160" s="1" t="s">
        <v>31</v>
      </c>
      <c r="C160" s="1" t="s">
        <v>34</v>
      </c>
      <c r="D160" s="1" t="s">
        <v>39</v>
      </c>
      <c r="E160" s="1">
        <v>1250.71</v>
      </c>
      <c r="F160" s="1">
        <v>7</v>
      </c>
      <c r="G160" s="2">
        <v>0</v>
      </c>
      <c r="H160" s="3">
        <v>45674</v>
      </c>
      <c r="I160" s="1">
        <v>562.82000000000005</v>
      </c>
    </row>
    <row r="161" spans="1:9" x14ac:dyDescent="0.3">
      <c r="A161" s="1" t="s">
        <v>40</v>
      </c>
      <c r="B161" s="1" t="s">
        <v>17</v>
      </c>
      <c r="C161" s="1" t="s">
        <v>20</v>
      </c>
      <c r="D161" s="1" t="s">
        <v>15</v>
      </c>
      <c r="E161" s="1">
        <v>1118.3399999999999</v>
      </c>
      <c r="F161" s="1">
        <v>6</v>
      </c>
      <c r="G161" s="2">
        <v>0.2</v>
      </c>
      <c r="H161" s="3">
        <v>45674</v>
      </c>
      <c r="I161" s="1">
        <v>447.34</v>
      </c>
    </row>
    <row r="162" spans="1:9"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x14ac:dyDescent="0.3">
      <c r="A164" s="1" t="s">
        <v>22</v>
      </c>
      <c r="B164" s="1" t="s">
        <v>43</v>
      </c>
      <c r="C164" s="1" t="s">
        <v>11</v>
      </c>
      <c r="D164" s="1" t="s">
        <v>15</v>
      </c>
      <c r="E164" s="1">
        <v>585.16</v>
      </c>
      <c r="F164" s="1">
        <v>17</v>
      </c>
      <c r="G164" s="2">
        <v>0.1</v>
      </c>
      <c r="H164" s="3">
        <v>45684</v>
      </c>
      <c r="I164" s="1">
        <v>263.32</v>
      </c>
    </row>
    <row r="165" spans="1:9" x14ac:dyDescent="0.3">
      <c r="A165" s="1" t="s">
        <v>22</v>
      </c>
      <c r="B165" s="1" t="s">
        <v>31</v>
      </c>
      <c r="C165" s="1" t="s">
        <v>18</v>
      </c>
      <c r="D165" s="1" t="s">
        <v>15</v>
      </c>
      <c r="E165" s="1">
        <v>1109.98</v>
      </c>
      <c r="F165" s="1">
        <v>5</v>
      </c>
      <c r="G165" s="2">
        <v>0.2</v>
      </c>
      <c r="H165" s="3">
        <v>45690</v>
      </c>
      <c r="I165" s="1">
        <v>443.99</v>
      </c>
    </row>
    <row r="166" spans="1:9" x14ac:dyDescent="0.3">
      <c r="A166" s="1" t="s">
        <v>58</v>
      </c>
      <c r="B166" s="1" t="s">
        <v>45</v>
      </c>
      <c r="C166" s="1" t="s">
        <v>18</v>
      </c>
      <c r="D166" s="1" t="s">
        <v>12</v>
      </c>
      <c r="E166" s="1">
        <v>1098.08</v>
      </c>
      <c r="F166" s="1">
        <v>9</v>
      </c>
      <c r="G166" s="2">
        <v>0.1</v>
      </c>
      <c r="H166" s="3">
        <v>45692</v>
      </c>
      <c r="I166" s="1">
        <v>395.31</v>
      </c>
    </row>
    <row r="167" spans="1:9" x14ac:dyDescent="0.3">
      <c r="A167" s="1" t="s">
        <v>65</v>
      </c>
      <c r="B167" s="1" t="s">
        <v>48</v>
      </c>
      <c r="C167" s="1" t="s">
        <v>11</v>
      </c>
      <c r="D167" s="1" t="s">
        <v>39</v>
      </c>
      <c r="E167" s="1">
        <v>827.25</v>
      </c>
      <c r="F167" s="1">
        <v>7</v>
      </c>
      <c r="G167" s="2">
        <v>0.1</v>
      </c>
      <c r="H167" s="3">
        <v>45693</v>
      </c>
      <c r="I167" s="1">
        <v>335.04</v>
      </c>
    </row>
    <row r="168" spans="1:9" x14ac:dyDescent="0.3">
      <c r="A168" s="1" t="s">
        <v>70</v>
      </c>
      <c r="B168" s="1" t="s">
        <v>29</v>
      </c>
      <c r="C168" s="1" t="s">
        <v>34</v>
      </c>
      <c r="D168" s="1" t="s">
        <v>15</v>
      </c>
      <c r="E168" s="1">
        <v>741.88</v>
      </c>
      <c r="F168" s="1">
        <v>16</v>
      </c>
      <c r="G168" s="2">
        <v>0.1</v>
      </c>
      <c r="H168" s="3">
        <v>45695</v>
      </c>
      <c r="I168" s="1">
        <v>333.85</v>
      </c>
    </row>
    <row r="169" spans="1:9" x14ac:dyDescent="0.3">
      <c r="A169" s="1" t="s">
        <v>72</v>
      </c>
      <c r="B169" s="1" t="s">
        <v>10</v>
      </c>
      <c r="C169" s="1" t="s">
        <v>18</v>
      </c>
      <c r="D169" s="1" t="s">
        <v>39</v>
      </c>
      <c r="E169" s="1">
        <v>1311.26</v>
      </c>
      <c r="F169" s="1">
        <v>6</v>
      </c>
      <c r="G169" s="2">
        <v>0.1</v>
      </c>
      <c r="H169" s="3">
        <v>45698</v>
      </c>
      <c r="I169" s="1">
        <v>531.05999999999995</v>
      </c>
    </row>
    <row r="170" spans="1:9" x14ac:dyDescent="0.3">
      <c r="A170" s="1" t="s">
        <v>72</v>
      </c>
      <c r="B170" s="1" t="s">
        <v>31</v>
      </c>
      <c r="C170" s="1" t="s">
        <v>20</v>
      </c>
      <c r="D170" s="1" t="s">
        <v>39</v>
      </c>
      <c r="E170" s="1">
        <v>573.32000000000005</v>
      </c>
      <c r="F170" s="1">
        <v>19</v>
      </c>
      <c r="G170" s="2">
        <v>0.1</v>
      </c>
      <c r="H170" s="3">
        <v>45703</v>
      </c>
      <c r="I170" s="1">
        <v>232.19</v>
      </c>
    </row>
    <row r="171" spans="1:9" x14ac:dyDescent="0.3">
      <c r="A171" s="1" t="s">
        <v>52</v>
      </c>
      <c r="B171" s="1" t="s">
        <v>23</v>
      </c>
      <c r="C171" s="1" t="s">
        <v>11</v>
      </c>
      <c r="D171" s="1" t="s">
        <v>21</v>
      </c>
      <c r="E171" s="1">
        <v>1115.22</v>
      </c>
      <c r="F171" s="1">
        <v>14</v>
      </c>
      <c r="G171" s="2">
        <v>0.2</v>
      </c>
      <c r="H171" s="3">
        <v>45705</v>
      </c>
      <c r="I171" s="1">
        <v>223.04</v>
      </c>
    </row>
    <row r="172" spans="1:9" x14ac:dyDescent="0.3">
      <c r="A172" s="1" t="s">
        <v>13</v>
      </c>
      <c r="B172" s="1" t="s">
        <v>45</v>
      </c>
      <c r="C172" s="1" t="s">
        <v>24</v>
      </c>
      <c r="D172" s="1" t="s">
        <v>15</v>
      </c>
      <c r="E172" s="1">
        <v>845.84</v>
      </c>
      <c r="F172" s="1">
        <v>4</v>
      </c>
      <c r="G172" s="2">
        <v>0</v>
      </c>
      <c r="H172" s="3">
        <v>45707</v>
      </c>
      <c r="I172" s="1">
        <v>422.92</v>
      </c>
    </row>
    <row r="173" spans="1:9" x14ac:dyDescent="0.3">
      <c r="A173" s="1" t="s">
        <v>30</v>
      </c>
      <c r="B173" s="1" t="s">
        <v>55</v>
      </c>
      <c r="C173" s="1" t="s">
        <v>11</v>
      </c>
      <c r="D173" s="1" t="s">
        <v>21</v>
      </c>
      <c r="E173" s="1">
        <v>1029.8</v>
      </c>
      <c r="F173" s="1">
        <v>3</v>
      </c>
      <c r="G173" s="2">
        <v>0</v>
      </c>
      <c r="H173" s="3">
        <v>45708</v>
      </c>
      <c r="I173" s="1">
        <v>257.45</v>
      </c>
    </row>
    <row r="174" spans="1:9" x14ac:dyDescent="0.3">
      <c r="A174" s="1" t="s">
        <v>32</v>
      </c>
      <c r="B174" s="1" t="s">
        <v>31</v>
      </c>
      <c r="C174" s="1" t="s">
        <v>24</v>
      </c>
      <c r="D174" s="1" t="s">
        <v>12</v>
      </c>
      <c r="E174" s="1">
        <v>1189.83</v>
      </c>
      <c r="F174" s="1">
        <v>2</v>
      </c>
      <c r="G174" s="2">
        <v>0.2</v>
      </c>
      <c r="H174" s="3">
        <v>45709</v>
      </c>
      <c r="I174" s="1">
        <v>380.75</v>
      </c>
    </row>
    <row r="175" spans="1:9" x14ac:dyDescent="0.3">
      <c r="A175" s="1" t="s">
        <v>67</v>
      </c>
      <c r="B175" s="1" t="s">
        <v>43</v>
      </c>
      <c r="C175" s="1" t="s">
        <v>20</v>
      </c>
      <c r="D175" s="1" t="s">
        <v>12</v>
      </c>
      <c r="E175" s="1">
        <v>704.28</v>
      </c>
      <c r="F175" s="1">
        <v>15</v>
      </c>
      <c r="G175" s="2">
        <v>0.2</v>
      </c>
      <c r="H175" s="3">
        <v>45712</v>
      </c>
      <c r="I175" s="1">
        <v>225.37</v>
      </c>
    </row>
    <row r="176" spans="1:9" x14ac:dyDescent="0.3">
      <c r="A176" s="1" t="s">
        <v>65</v>
      </c>
      <c r="B176" s="1" t="s">
        <v>47</v>
      </c>
      <c r="C176" s="1" t="s">
        <v>34</v>
      </c>
      <c r="D176" s="1" t="s">
        <v>39</v>
      </c>
      <c r="E176" s="1">
        <v>1618.22</v>
      </c>
      <c r="F176" s="1">
        <v>12</v>
      </c>
      <c r="G176" s="2">
        <v>0.2</v>
      </c>
      <c r="H176" s="3">
        <v>45712</v>
      </c>
      <c r="I176" s="1">
        <v>582.55999999999995</v>
      </c>
    </row>
    <row r="177" spans="1:9" x14ac:dyDescent="0.3">
      <c r="A177" s="1" t="s">
        <v>73</v>
      </c>
      <c r="B177" s="1" t="s">
        <v>53</v>
      </c>
      <c r="C177" s="1" t="s">
        <v>34</v>
      </c>
      <c r="D177" s="1" t="s">
        <v>12</v>
      </c>
      <c r="E177" s="1">
        <v>1014.43</v>
      </c>
      <c r="F177" s="1">
        <v>2</v>
      </c>
      <c r="G177" s="2">
        <v>0.15</v>
      </c>
      <c r="H177" s="3">
        <v>45713</v>
      </c>
      <c r="I177" s="1">
        <v>344.91</v>
      </c>
    </row>
    <row r="178" spans="1:9" x14ac:dyDescent="0.3">
      <c r="A178" s="1" t="s">
        <v>75</v>
      </c>
      <c r="B178" s="1" t="s">
        <v>31</v>
      </c>
      <c r="C178" s="1" t="s">
        <v>34</v>
      </c>
      <c r="D178" s="1" t="s">
        <v>15</v>
      </c>
      <c r="E178" s="1">
        <v>826.97</v>
      </c>
      <c r="F178" s="1">
        <v>18</v>
      </c>
      <c r="G178" s="2">
        <v>0.2</v>
      </c>
      <c r="H178" s="3">
        <v>45715</v>
      </c>
      <c r="I178" s="1">
        <v>330.79</v>
      </c>
    </row>
    <row r="179" spans="1:9" x14ac:dyDescent="0.3">
      <c r="A179" s="1" t="s">
        <v>16</v>
      </c>
      <c r="B179" s="1" t="s">
        <v>31</v>
      </c>
      <c r="C179" s="1" t="s">
        <v>34</v>
      </c>
      <c r="D179" s="1" t="s">
        <v>15</v>
      </c>
      <c r="E179" s="1">
        <v>1022.23</v>
      </c>
      <c r="F179" s="1">
        <v>8</v>
      </c>
      <c r="G179" s="2">
        <v>0.1</v>
      </c>
      <c r="H179" s="3">
        <v>45717</v>
      </c>
      <c r="I179" s="1">
        <v>460</v>
      </c>
    </row>
    <row r="180" spans="1:9" x14ac:dyDescent="0.3">
      <c r="A180" s="1" t="s">
        <v>72</v>
      </c>
      <c r="B180" s="1" t="s">
        <v>29</v>
      </c>
      <c r="C180" s="1" t="s">
        <v>18</v>
      </c>
      <c r="D180" s="1" t="s">
        <v>12</v>
      </c>
      <c r="E180" s="1">
        <v>1099.69</v>
      </c>
      <c r="F180" s="1">
        <v>6</v>
      </c>
      <c r="G180" s="2">
        <v>0</v>
      </c>
      <c r="H180" s="3">
        <v>45718</v>
      </c>
      <c r="I180" s="1">
        <v>439.88</v>
      </c>
    </row>
    <row r="181" spans="1:9" x14ac:dyDescent="0.3">
      <c r="A181" s="1" t="s">
        <v>52</v>
      </c>
      <c r="B181" s="1" t="s">
        <v>64</v>
      </c>
      <c r="C181" s="1" t="s">
        <v>24</v>
      </c>
      <c r="D181" s="1" t="s">
        <v>12</v>
      </c>
      <c r="E181" s="1">
        <v>710.52</v>
      </c>
      <c r="F181" s="1">
        <v>8</v>
      </c>
      <c r="G181" s="2">
        <v>0.1</v>
      </c>
      <c r="H181" s="3">
        <v>45721</v>
      </c>
      <c r="I181" s="1">
        <v>255.79</v>
      </c>
    </row>
    <row r="182" spans="1:9" x14ac:dyDescent="0.3">
      <c r="A182" s="1" t="s">
        <v>52</v>
      </c>
      <c r="B182" s="1" t="s">
        <v>59</v>
      </c>
      <c r="C182" s="1" t="s">
        <v>24</v>
      </c>
      <c r="D182" s="1" t="s">
        <v>12</v>
      </c>
      <c r="E182" s="1">
        <v>499.18</v>
      </c>
      <c r="F182" s="1">
        <v>15</v>
      </c>
      <c r="G182" s="2">
        <v>0.2</v>
      </c>
      <c r="H182" s="3">
        <v>45724</v>
      </c>
      <c r="I182" s="1">
        <v>159.74</v>
      </c>
    </row>
    <row r="183" spans="1:9" x14ac:dyDescent="0.3">
      <c r="A183" s="1" t="s">
        <v>37</v>
      </c>
      <c r="B183" s="1" t="s">
        <v>38</v>
      </c>
      <c r="C183" s="1" t="s">
        <v>20</v>
      </c>
      <c r="D183" s="1" t="s">
        <v>12</v>
      </c>
      <c r="E183" s="1">
        <v>1064.19</v>
      </c>
      <c r="F183" s="1">
        <v>18</v>
      </c>
      <c r="G183" s="2">
        <v>0.05</v>
      </c>
      <c r="H183" s="3">
        <v>45725</v>
      </c>
      <c r="I183" s="1">
        <v>404.39</v>
      </c>
    </row>
    <row r="184" spans="1:9" x14ac:dyDescent="0.3">
      <c r="A184" s="1" t="s">
        <v>67</v>
      </c>
      <c r="B184" s="1" t="s">
        <v>38</v>
      </c>
      <c r="C184" s="1" t="s">
        <v>18</v>
      </c>
      <c r="D184" s="1" t="s">
        <v>39</v>
      </c>
      <c r="E184" s="1">
        <v>438.76</v>
      </c>
      <c r="F184" s="1">
        <v>18</v>
      </c>
      <c r="G184" s="2">
        <v>0.05</v>
      </c>
      <c r="H184" s="3">
        <v>45726</v>
      </c>
      <c r="I184" s="1">
        <v>187.57</v>
      </c>
    </row>
    <row r="185" spans="1:9" x14ac:dyDescent="0.3">
      <c r="A185" s="1" t="s">
        <v>41</v>
      </c>
      <c r="B185" s="1" t="s">
        <v>55</v>
      </c>
      <c r="C185" s="1" t="s">
        <v>11</v>
      </c>
      <c r="D185" s="1" t="s">
        <v>15</v>
      </c>
      <c r="E185" s="1">
        <v>864.98</v>
      </c>
      <c r="F185" s="1">
        <v>2</v>
      </c>
      <c r="G185" s="2">
        <v>0.05</v>
      </c>
      <c r="H185" s="3">
        <v>45727</v>
      </c>
      <c r="I185" s="1">
        <v>410.87</v>
      </c>
    </row>
    <row r="186" spans="1:9" x14ac:dyDescent="0.3">
      <c r="A186" s="1" t="s">
        <v>57</v>
      </c>
      <c r="B186" s="1" t="s">
        <v>55</v>
      </c>
      <c r="C186" s="1" t="s">
        <v>11</v>
      </c>
      <c r="D186" s="1" t="s">
        <v>27</v>
      </c>
      <c r="E186" s="1">
        <v>984.93</v>
      </c>
      <c r="F186" s="1">
        <v>14</v>
      </c>
      <c r="G186" s="2">
        <v>0.2</v>
      </c>
      <c r="H186" s="3">
        <v>45733</v>
      </c>
      <c r="I186" s="1">
        <v>275.77999999999997</v>
      </c>
    </row>
    <row r="187" spans="1:9" x14ac:dyDescent="0.3">
      <c r="A187" s="1" t="s">
        <v>25</v>
      </c>
      <c r="B187" s="1" t="s">
        <v>55</v>
      </c>
      <c r="C187" s="1" t="s">
        <v>11</v>
      </c>
      <c r="D187" s="1" t="s">
        <v>15</v>
      </c>
      <c r="E187" s="1">
        <v>1493.49</v>
      </c>
      <c r="F187" s="1">
        <v>18</v>
      </c>
      <c r="G187" s="2">
        <v>0</v>
      </c>
      <c r="H187" s="3">
        <v>45734</v>
      </c>
      <c r="I187" s="1">
        <v>746.74</v>
      </c>
    </row>
    <row r="188" spans="1:9" x14ac:dyDescent="0.3">
      <c r="A188" s="1" t="s">
        <v>32</v>
      </c>
      <c r="B188" s="1" t="s">
        <v>53</v>
      </c>
      <c r="C188" s="1" t="s">
        <v>20</v>
      </c>
      <c r="D188" s="1" t="s">
        <v>15</v>
      </c>
      <c r="E188" s="1">
        <v>689.43</v>
      </c>
      <c r="F188" s="1">
        <v>9</v>
      </c>
      <c r="G188" s="2">
        <v>0.1</v>
      </c>
      <c r="H188" s="3">
        <v>45736</v>
      </c>
      <c r="I188" s="1">
        <v>310.24</v>
      </c>
    </row>
    <row r="189" spans="1:9" x14ac:dyDescent="0.3">
      <c r="A189" s="1" t="s">
        <v>40</v>
      </c>
      <c r="B189" s="1" t="s">
        <v>59</v>
      </c>
      <c r="C189" s="1" t="s">
        <v>20</v>
      </c>
      <c r="D189" s="1" t="s">
        <v>15</v>
      </c>
      <c r="E189" s="1">
        <v>682.24</v>
      </c>
      <c r="F189" s="1">
        <v>1</v>
      </c>
      <c r="G189" s="2">
        <v>0</v>
      </c>
      <c r="H189" s="3">
        <v>45738</v>
      </c>
      <c r="I189" s="1">
        <v>341.12</v>
      </c>
    </row>
    <row r="190" spans="1:9" x14ac:dyDescent="0.3">
      <c r="A190" s="1" t="s">
        <v>41</v>
      </c>
      <c r="B190" s="1" t="s">
        <v>26</v>
      </c>
      <c r="C190" s="1" t="s">
        <v>24</v>
      </c>
      <c r="D190" s="1" t="s">
        <v>21</v>
      </c>
      <c r="E190" s="1">
        <v>458.54</v>
      </c>
      <c r="F190" s="1">
        <v>15</v>
      </c>
      <c r="G190" s="2">
        <v>0.2</v>
      </c>
      <c r="H190" s="3">
        <v>45741</v>
      </c>
      <c r="I190" s="1">
        <v>91.71</v>
      </c>
    </row>
    <row r="191" spans="1:9" x14ac:dyDescent="0.3">
      <c r="A191" s="1" t="s">
        <v>32</v>
      </c>
      <c r="B191" s="1" t="s">
        <v>26</v>
      </c>
      <c r="C191" s="1" t="s">
        <v>20</v>
      </c>
      <c r="D191" s="1" t="s">
        <v>27</v>
      </c>
      <c r="E191" s="1">
        <v>1184.25</v>
      </c>
      <c r="F191" s="1">
        <v>11</v>
      </c>
      <c r="G191" s="2">
        <v>0.2</v>
      </c>
      <c r="H191" s="3">
        <v>45742</v>
      </c>
      <c r="I191" s="1">
        <v>331.59</v>
      </c>
    </row>
    <row r="192" spans="1:9" x14ac:dyDescent="0.3">
      <c r="A192" s="1" t="s">
        <v>25</v>
      </c>
      <c r="B192" s="1" t="s">
        <v>10</v>
      </c>
      <c r="C192" s="1" t="s">
        <v>20</v>
      </c>
      <c r="D192" s="1" t="s">
        <v>15</v>
      </c>
      <c r="E192" s="1">
        <v>762.14</v>
      </c>
      <c r="F192" s="1">
        <v>9</v>
      </c>
      <c r="G192" s="2">
        <v>0</v>
      </c>
      <c r="H192" s="3">
        <v>45743</v>
      </c>
      <c r="I192" s="1">
        <v>381.07</v>
      </c>
    </row>
    <row r="193" spans="1:9" x14ac:dyDescent="0.3">
      <c r="A193" s="1" t="s">
        <v>22</v>
      </c>
      <c r="B193" s="1" t="s">
        <v>53</v>
      </c>
      <c r="C193" s="1" t="s">
        <v>24</v>
      </c>
      <c r="D193" s="1" t="s">
        <v>12</v>
      </c>
      <c r="E193" s="1">
        <v>750.71</v>
      </c>
      <c r="F193" s="1">
        <v>10</v>
      </c>
      <c r="G193" s="2">
        <v>0.15</v>
      </c>
      <c r="H193" s="3">
        <v>45743</v>
      </c>
      <c r="I193" s="1">
        <v>255.24</v>
      </c>
    </row>
    <row r="194" spans="1:9" x14ac:dyDescent="0.3">
      <c r="A194" s="1" t="s">
        <v>75</v>
      </c>
      <c r="B194" s="1" t="s">
        <v>71</v>
      </c>
      <c r="C194" s="1" t="s">
        <v>34</v>
      </c>
      <c r="D194" s="1" t="s">
        <v>15</v>
      </c>
      <c r="E194" s="1">
        <v>1456.94</v>
      </c>
      <c r="F194" s="1">
        <v>14</v>
      </c>
      <c r="G194" s="2">
        <v>0.05</v>
      </c>
      <c r="H194" s="3">
        <v>45745</v>
      </c>
      <c r="I194" s="1">
        <v>692.05</v>
      </c>
    </row>
    <row r="195" spans="1:9" x14ac:dyDescent="0.3">
      <c r="A195" s="1" t="s">
        <v>44</v>
      </c>
      <c r="B195" s="1" t="s">
        <v>61</v>
      </c>
      <c r="C195" s="1" t="s">
        <v>18</v>
      </c>
      <c r="D195" s="1" t="s">
        <v>27</v>
      </c>
      <c r="E195" s="1">
        <v>1093.3800000000001</v>
      </c>
      <c r="F195" s="1">
        <v>17</v>
      </c>
      <c r="G195" s="2">
        <v>0.1</v>
      </c>
      <c r="H195" s="3">
        <v>45745</v>
      </c>
      <c r="I195" s="1">
        <v>344.41</v>
      </c>
    </row>
    <row r="196" spans="1:9" x14ac:dyDescent="0.3">
      <c r="A196" s="1" t="s">
        <v>37</v>
      </c>
      <c r="B196" s="1" t="s">
        <v>43</v>
      </c>
      <c r="C196" s="1" t="s">
        <v>11</v>
      </c>
      <c r="D196" s="1" t="s">
        <v>15</v>
      </c>
      <c r="E196" s="1">
        <v>934.27</v>
      </c>
      <c r="F196" s="1">
        <v>8</v>
      </c>
      <c r="G196" s="2">
        <v>0.15</v>
      </c>
      <c r="H196" s="3">
        <v>45746</v>
      </c>
      <c r="I196" s="1">
        <v>397.06</v>
      </c>
    </row>
    <row r="197" spans="1:9" x14ac:dyDescent="0.3">
      <c r="A197" s="1" t="s">
        <v>70</v>
      </c>
      <c r="B197" s="1" t="s">
        <v>36</v>
      </c>
      <c r="C197" s="1" t="s">
        <v>34</v>
      </c>
      <c r="D197" s="1" t="s">
        <v>15</v>
      </c>
      <c r="E197" s="1">
        <v>1465.35</v>
      </c>
      <c r="F197" s="1">
        <v>8</v>
      </c>
      <c r="G197" s="2">
        <v>0.2</v>
      </c>
      <c r="H197" s="3">
        <v>45746</v>
      </c>
      <c r="I197" s="1">
        <v>586.14</v>
      </c>
    </row>
    <row r="198" spans="1:9" x14ac:dyDescent="0.3">
      <c r="A198" s="1" t="s">
        <v>52</v>
      </c>
      <c r="B198" s="1" t="s">
        <v>14</v>
      </c>
      <c r="C198" s="1" t="s">
        <v>20</v>
      </c>
      <c r="D198" s="1" t="s">
        <v>39</v>
      </c>
      <c r="E198" s="1">
        <v>740.8</v>
      </c>
      <c r="F198" s="1">
        <v>3</v>
      </c>
      <c r="G198" s="2">
        <v>0</v>
      </c>
      <c r="H198" s="3">
        <v>45749</v>
      </c>
      <c r="I198" s="1">
        <v>333.36</v>
      </c>
    </row>
    <row r="199" spans="1:9" x14ac:dyDescent="0.3">
      <c r="A199" s="1" t="s">
        <v>58</v>
      </c>
      <c r="B199" s="1" t="s">
        <v>43</v>
      </c>
      <c r="C199" s="1" t="s">
        <v>11</v>
      </c>
      <c r="D199" s="1" t="s">
        <v>39</v>
      </c>
      <c r="E199" s="1">
        <v>545.44000000000005</v>
      </c>
      <c r="F199" s="1">
        <v>17</v>
      </c>
      <c r="G199" s="2">
        <v>0</v>
      </c>
      <c r="H199" s="3">
        <v>45752</v>
      </c>
      <c r="I199" s="1">
        <v>245.45</v>
      </c>
    </row>
    <row r="200" spans="1:9" x14ac:dyDescent="0.3">
      <c r="A200" s="1" t="s">
        <v>35</v>
      </c>
      <c r="B200" s="1" t="s">
        <v>36</v>
      </c>
      <c r="C200" s="1" t="s">
        <v>18</v>
      </c>
      <c r="D200" s="1" t="s">
        <v>12</v>
      </c>
      <c r="E200" s="1">
        <v>997.61</v>
      </c>
      <c r="F200" s="1">
        <v>8</v>
      </c>
      <c r="G200" s="2">
        <v>0.05</v>
      </c>
      <c r="H200" s="3">
        <v>45752</v>
      </c>
      <c r="I200" s="1">
        <v>379.09</v>
      </c>
    </row>
    <row r="201" spans="1:9" x14ac:dyDescent="0.3">
      <c r="A201" s="1" t="s">
        <v>60</v>
      </c>
      <c r="B201" s="1" t="s">
        <v>36</v>
      </c>
      <c r="C201" s="1" t="s">
        <v>20</v>
      </c>
      <c r="D201" s="1" t="s">
        <v>15</v>
      </c>
      <c r="E201" s="1">
        <v>928.32</v>
      </c>
      <c r="F201" s="1">
        <v>2</v>
      </c>
      <c r="G201" s="2">
        <v>0.05</v>
      </c>
      <c r="H201" s="3">
        <v>45754</v>
      </c>
      <c r="I201" s="1">
        <v>440.95</v>
      </c>
    </row>
  </sheetData>
  <conditionalFormatting sqref="B1:B201">
    <cfRule type="top10" dxfId="29" priority="1" rank="10"/>
    <cfRule type="top10" dxfId="28" priority="3" rank="10"/>
    <cfRule type="top10" dxfId="27" priority="5" rank="10"/>
  </conditionalFormatting>
  <conditionalFormatting sqref="B2:B201">
    <cfRule type="top10" dxfId="26" priority="4" rank="10"/>
  </conditionalFormatting>
  <conditionalFormatting sqref="C3:C8">
    <cfRule type="top10" dxfId="25" priority="2" percent="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188A-953B-4F5E-9260-077060BFE1D2}">
  <dimension ref="A1:U201"/>
  <sheetViews>
    <sheetView topLeftCell="D10" zoomScale="105" zoomScaleNormal="105" workbookViewId="0">
      <selection activeCell="N21" sqref="N21:T21"/>
    </sheetView>
  </sheetViews>
  <sheetFormatPr defaultRowHeight="14.4" x14ac:dyDescent="0.3"/>
  <cols>
    <col min="8" max="8" width="12.109375" customWidth="1"/>
    <col min="13" max="13" width="18.21875" bestFit="1" customWidth="1"/>
    <col min="14" max="14" width="12.6640625" bestFit="1" customWidth="1"/>
    <col min="18" max="18" width="12.6640625" bestFit="1" customWidth="1"/>
    <col min="19" max="19" width="12" bestFit="1" customWidth="1"/>
    <col min="20" max="20" width="12.6640625" bestFit="1" customWidth="1"/>
    <col min="21" max="21" width="12.109375" bestFit="1" customWidth="1"/>
  </cols>
  <sheetData>
    <row r="1" spans="1:18" ht="28.8" x14ac:dyDescent="0.3">
      <c r="A1" s="13" t="s">
        <v>0</v>
      </c>
      <c r="B1" s="13" t="s">
        <v>1</v>
      </c>
      <c r="C1" s="13" t="s">
        <v>2</v>
      </c>
      <c r="D1" s="13" t="s">
        <v>3</v>
      </c>
      <c r="E1" s="13" t="s">
        <v>4</v>
      </c>
      <c r="F1" s="13" t="s">
        <v>5</v>
      </c>
      <c r="G1" s="14" t="s">
        <v>6</v>
      </c>
      <c r="H1" s="15" t="s">
        <v>7</v>
      </c>
      <c r="I1" s="13" t="s">
        <v>8</v>
      </c>
    </row>
    <row r="2" spans="1:18" ht="28.8" x14ac:dyDescent="0.3">
      <c r="A2" s="1" t="s">
        <v>9</v>
      </c>
      <c r="B2" s="1" t="s">
        <v>10</v>
      </c>
      <c r="C2" s="1" t="s">
        <v>11</v>
      </c>
      <c r="D2" s="1" t="s">
        <v>12</v>
      </c>
      <c r="E2" s="1">
        <v>1036.0899999999999</v>
      </c>
      <c r="F2" s="1">
        <v>4</v>
      </c>
      <c r="G2" s="2">
        <v>0.2</v>
      </c>
      <c r="H2" s="3">
        <v>45392</v>
      </c>
      <c r="I2" s="1">
        <v>331.55</v>
      </c>
      <c r="M2" t="s">
        <v>95</v>
      </c>
    </row>
    <row r="3" spans="1:18" ht="28.8" x14ac:dyDescent="0.3">
      <c r="A3" s="1" t="s">
        <v>13</v>
      </c>
      <c r="B3" s="1" t="s">
        <v>14</v>
      </c>
      <c r="C3" s="1" t="s">
        <v>11</v>
      </c>
      <c r="D3" s="1" t="s">
        <v>15</v>
      </c>
      <c r="E3" s="1">
        <v>1101.28</v>
      </c>
      <c r="F3" s="1">
        <v>3</v>
      </c>
      <c r="G3" s="2">
        <v>0.2</v>
      </c>
      <c r="H3" s="3">
        <v>45393</v>
      </c>
      <c r="I3" s="1">
        <v>440.51</v>
      </c>
    </row>
    <row r="4" spans="1:18" ht="28.8" x14ac:dyDescent="0.3">
      <c r="A4" s="1" t="s">
        <v>16</v>
      </c>
      <c r="B4" s="1" t="s">
        <v>17</v>
      </c>
      <c r="C4" s="1" t="s">
        <v>18</v>
      </c>
      <c r="D4" s="1" t="s">
        <v>12</v>
      </c>
      <c r="E4" s="1">
        <v>713.34</v>
      </c>
      <c r="F4" s="1">
        <v>17</v>
      </c>
      <c r="G4" s="2">
        <v>0</v>
      </c>
      <c r="H4" s="3">
        <v>45396</v>
      </c>
      <c r="I4" s="1">
        <v>285.33999999999997</v>
      </c>
      <c r="M4" s="17" t="s">
        <v>96</v>
      </c>
      <c r="N4" s="17" t="s">
        <v>117</v>
      </c>
    </row>
    <row r="5" spans="1:18" ht="28.8" x14ac:dyDescent="0.3">
      <c r="A5" s="1" t="s">
        <v>19</v>
      </c>
      <c r="B5" s="1" t="s">
        <v>14</v>
      </c>
      <c r="C5" s="1" t="s">
        <v>20</v>
      </c>
      <c r="D5" s="1" t="s">
        <v>21</v>
      </c>
      <c r="E5" s="1">
        <v>760.93</v>
      </c>
      <c r="F5" s="1">
        <v>4</v>
      </c>
      <c r="G5" s="2">
        <v>0.15</v>
      </c>
      <c r="H5" s="3">
        <v>45396</v>
      </c>
      <c r="I5" s="1">
        <v>161.69999999999999</v>
      </c>
      <c r="M5" s="4" t="s">
        <v>97</v>
      </c>
      <c r="N5" s="4">
        <v>0.77356566420146511</v>
      </c>
    </row>
    <row r="6" spans="1:18" ht="28.8" x14ac:dyDescent="0.3">
      <c r="A6" s="1" t="s">
        <v>22</v>
      </c>
      <c r="B6" s="1" t="s">
        <v>23</v>
      </c>
      <c r="C6" s="1" t="s">
        <v>24</v>
      </c>
      <c r="D6" s="1" t="s">
        <v>12</v>
      </c>
      <c r="E6" s="1">
        <v>847</v>
      </c>
      <c r="F6" s="1">
        <v>12</v>
      </c>
      <c r="G6" s="2">
        <v>0.2</v>
      </c>
      <c r="H6" s="3">
        <v>45397</v>
      </c>
      <c r="I6" s="1">
        <v>271.04000000000002</v>
      </c>
      <c r="M6" s="4" t="s">
        <v>98</v>
      </c>
      <c r="N6" s="4">
        <v>0.59840383683145382</v>
      </c>
    </row>
    <row r="7" spans="1:18" ht="28.8" x14ac:dyDescent="0.3">
      <c r="A7" s="1" t="s">
        <v>25</v>
      </c>
      <c r="B7" s="1" t="s">
        <v>26</v>
      </c>
      <c r="C7" s="1" t="s">
        <v>24</v>
      </c>
      <c r="D7" s="1" t="s">
        <v>27</v>
      </c>
      <c r="E7" s="1">
        <v>965.64</v>
      </c>
      <c r="F7" s="1">
        <v>8</v>
      </c>
      <c r="G7" s="2">
        <v>0.1</v>
      </c>
      <c r="H7" s="3">
        <v>45398</v>
      </c>
      <c r="I7" s="1">
        <v>304.18</v>
      </c>
      <c r="M7" s="4" t="s">
        <v>99</v>
      </c>
      <c r="N7" s="4">
        <v>0.59636527762755254</v>
      </c>
    </row>
    <row r="8" spans="1:18" ht="28.8" x14ac:dyDescent="0.3">
      <c r="A8" s="1" t="s">
        <v>28</v>
      </c>
      <c r="B8" s="1" t="s">
        <v>29</v>
      </c>
      <c r="C8" s="1" t="s">
        <v>11</v>
      </c>
      <c r="D8" s="1" t="s">
        <v>21</v>
      </c>
      <c r="E8" s="1">
        <v>1317.53</v>
      </c>
      <c r="F8" s="1">
        <v>12</v>
      </c>
      <c r="G8" s="2">
        <v>0.05</v>
      </c>
      <c r="H8" s="3">
        <v>45398</v>
      </c>
      <c r="I8" s="1">
        <v>312.91000000000003</v>
      </c>
      <c r="M8" s="4" t="s">
        <v>83</v>
      </c>
      <c r="N8" s="4">
        <v>86.471707018508098</v>
      </c>
    </row>
    <row r="9" spans="1:18" ht="28.8" x14ac:dyDescent="0.3">
      <c r="A9" s="1" t="s">
        <v>30</v>
      </c>
      <c r="B9" s="1" t="s">
        <v>31</v>
      </c>
      <c r="C9" s="1" t="s">
        <v>18</v>
      </c>
      <c r="D9" s="1" t="s">
        <v>27</v>
      </c>
      <c r="E9" s="1">
        <v>1074.47</v>
      </c>
      <c r="F9" s="1">
        <v>6</v>
      </c>
      <c r="G9" s="2">
        <v>0.2</v>
      </c>
      <c r="H9" s="3">
        <v>45401</v>
      </c>
      <c r="I9" s="1">
        <v>300.85000000000002</v>
      </c>
      <c r="M9" s="4" t="s">
        <v>100</v>
      </c>
      <c r="N9" s="4">
        <v>199</v>
      </c>
    </row>
    <row r="10" spans="1:18" ht="28.8" x14ac:dyDescent="0.3">
      <c r="A10" s="1" t="s">
        <v>32</v>
      </c>
      <c r="B10" s="1" t="s">
        <v>33</v>
      </c>
      <c r="C10" s="1" t="s">
        <v>34</v>
      </c>
      <c r="D10" s="1" t="s">
        <v>12</v>
      </c>
      <c r="E10" s="1">
        <v>501.54</v>
      </c>
      <c r="F10" s="1">
        <v>11</v>
      </c>
      <c r="G10" s="2">
        <v>0.05</v>
      </c>
      <c r="H10" s="3">
        <v>45401</v>
      </c>
      <c r="I10" s="1">
        <v>190.59</v>
      </c>
    </row>
    <row r="11" spans="1:18" ht="28.8" x14ac:dyDescent="0.3">
      <c r="A11" s="1" t="s">
        <v>35</v>
      </c>
      <c r="B11" s="1" t="s">
        <v>36</v>
      </c>
      <c r="C11" s="1" t="s">
        <v>34</v>
      </c>
      <c r="D11" s="1" t="s">
        <v>15</v>
      </c>
      <c r="E11" s="1">
        <v>737.31</v>
      </c>
      <c r="F11" s="1">
        <v>2</v>
      </c>
      <c r="G11" s="2">
        <v>0.05</v>
      </c>
      <c r="H11" s="3">
        <v>45401</v>
      </c>
      <c r="I11" s="1">
        <v>350.22</v>
      </c>
      <c r="M11" t="s">
        <v>101</v>
      </c>
    </row>
    <row r="12" spans="1:18" ht="28.8" x14ac:dyDescent="0.3">
      <c r="A12" s="1" t="s">
        <v>37</v>
      </c>
      <c r="B12" s="1" t="s">
        <v>38</v>
      </c>
      <c r="C12" s="1" t="s">
        <v>11</v>
      </c>
      <c r="D12" s="1" t="s">
        <v>39</v>
      </c>
      <c r="E12" s="1">
        <v>1572.82</v>
      </c>
      <c r="F12" s="1">
        <v>6</v>
      </c>
      <c r="G12" s="2">
        <v>0.05</v>
      </c>
      <c r="H12" s="3">
        <v>45402</v>
      </c>
      <c r="I12" s="1">
        <v>672.38</v>
      </c>
      <c r="M12" s="18"/>
      <c r="N12" s="18" t="s">
        <v>105</v>
      </c>
      <c r="O12" s="18" t="s">
        <v>106</v>
      </c>
      <c r="P12" s="18" t="s">
        <v>107</v>
      </c>
      <c r="Q12" s="18" t="s">
        <v>108</v>
      </c>
      <c r="R12" s="18" t="s">
        <v>109</v>
      </c>
    </row>
    <row r="13" spans="1:18" ht="28.8" x14ac:dyDescent="0.3">
      <c r="A13" s="1" t="s">
        <v>37</v>
      </c>
      <c r="B13" s="1" t="s">
        <v>36</v>
      </c>
      <c r="C13" s="1" t="s">
        <v>34</v>
      </c>
      <c r="D13" s="1" t="s">
        <v>12</v>
      </c>
      <c r="E13" s="1">
        <v>1343.13</v>
      </c>
      <c r="F13" s="1">
        <v>14</v>
      </c>
      <c r="G13" s="2">
        <v>0.15</v>
      </c>
      <c r="H13" s="3">
        <v>45404</v>
      </c>
      <c r="I13" s="1">
        <v>456.66</v>
      </c>
      <c r="M13" s="8" t="s">
        <v>102</v>
      </c>
      <c r="N13" s="8">
        <v>1</v>
      </c>
      <c r="O13" s="8">
        <v>2194922.0703649437</v>
      </c>
      <c r="P13" s="8">
        <v>2194922.0703649437</v>
      </c>
      <c r="Q13" s="8">
        <v>293.54253518184368</v>
      </c>
      <c r="R13" s="8">
        <v>6.8782375878390769E-41</v>
      </c>
    </row>
    <row r="14" spans="1:18" ht="28.8" x14ac:dyDescent="0.3">
      <c r="A14" s="1" t="s">
        <v>25</v>
      </c>
      <c r="B14" s="1" t="s">
        <v>26</v>
      </c>
      <c r="C14" s="1" t="s">
        <v>34</v>
      </c>
      <c r="D14" s="1" t="s">
        <v>12</v>
      </c>
      <c r="E14" s="1">
        <v>1191.58</v>
      </c>
      <c r="F14" s="1">
        <v>14</v>
      </c>
      <c r="G14" s="2">
        <v>0.05</v>
      </c>
      <c r="H14" s="3">
        <v>45406</v>
      </c>
      <c r="I14" s="1">
        <v>452.8</v>
      </c>
      <c r="M14" s="8" t="s">
        <v>103</v>
      </c>
      <c r="N14" s="8">
        <v>197</v>
      </c>
      <c r="O14" s="8">
        <v>1473039.1545948565</v>
      </c>
      <c r="P14" s="8">
        <v>7477.3561146947031</v>
      </c>
      <c r="Q14" s="8"/>
      <c r="R14" s="8"/>
    </row>
    <row r="15" spans="1:18" ht="28.8" x14ac:dyDescent="0.3">
      <c r="A15" s="1" t="s">
        <v>40</v>
      </c>
      <c r="B15" s="1" t="s">
        <v>14</v>
      </c>
      <c r="C15" s="1" t="s">
        <v>11</v>
      </c>
      <c r="D15" s="1" t="s">
        <v>27</v>
      </c>
      <c r="E15" s="1">
        <v>822.28</v>
      </c>
      <c r="F15" s="1">
        <v>7</v>
      </c>
      <c r="G15" s="2">
        <v>0.05</v>
      </c>
      <c r="H15" s="3">
        <v>45406</v>
      </c>
      <c r="I15" s="1">
        <v>273.41000000000003</v>
      </c>
      <c r="M15" s="8" t="s">
        <v>79</v>
      </c>
      <c r="N15" s="8">
        <v>198</v>
      </c>
      <c r="O15" s="8">
        <v>3667961.2249598</v>
      </c>
      <c r="P15" s="8"/>
      <c r="Q15" s="8"/>
      <c r="R15" s="8"/>
    </row>
    <row r="16" spans="1:18" ht="28.8" x14ac:dyDescent="0.3">
      <c r="A16" s="1" t="s">
        <v>41</v>
      </c>
      <c r="B16" s="1" t="s">
        <v>42</v>
      </c>
      <c r="C16" s="1" t="s">
        <v>24</v>
      </c>
      <c r="D16" s="1" t="s">
        <v>27</v>
      </c>
      <c r="E16" s="1">
        <v>521.66999999999996</v>
      </c>
      <c r="F16" s="1">
        <v>15</v>
      </c>
      <c r="G16" s="2">
        <v>0.15</v>
      </c>
      <c r="H16" s="3">
        <v>45409</v>
      </c>
      <c r="I16" s="1">
        <v>155.19999999999999</v>
      </c>
    </row>
    <row r="17" spans="1:21" ht="28.8" x14ac:dyDescent="0.3">
      <c r="A17" s="1" t="s">
        <v>19</v>
      </c>
      <c r="B17" s="1" t="s">
        <v>43</v>
      </c>
      <c r="C17" s="1" t="s">
        <v>20</v>
      </c>
      <c r="D17" s="1" t="s">
        <v>21</v>
      </c>
      <c r="E17" s="1">
        <v>1502.93</v>
      </c>
      <c r="F17" s="1">
        <v>14</v>
      </c>
      <c r="G17" s="2">
        <v>0.2</v>
      </c>
      <c r="H17" s="3">
        <v>45410</v>
      </c>
      <c r="I17" s="1">
        <v>300.58999999999997</v>
      </c>
      <c r="M17" s="8"/>
      <c r="N17" s="8" t="s">
        <v>110</v>
      </c>
      <c r="O17" s="8" t="s">
        <v>83</v>
      </c>
      <c r="P17" s="8" t="s">
        <v>111</v>
      </c>
      <c r="Q17" s="8" t="s">
        <v>112</v>
      </c>
      <c r="R17" s="8" t="s">
        <v>113</v>
      </c>
      <c r="S17" s="8" t="s">
        <v>114</v>
      </c>
      <c r="T17" s="8" t="s">
        <v>115</v>
      </c>
      <c r="U17" s="8" t="s">
        <v>116</v>
      </c>
    </row>
    <row r="18" spans="1:21" ht="28.8" x14ac:dyDescent="0.3">
      <c r="A18" s="1" t="s">
        <v>44</v>
      </c>
      <c r="B18" s="1" t="s">
        <v>14</v>
      </c>
      <c r="C18" s="1" t="s">
        <v>20</v>
      </c>
      <c r="D18" s="1" t="s">
        <v>12</v>
      </c>
      <c r="E18" s="1">
        <v>877.58</v>
      </c>
      <c r="F18" s="1">
        <v>10</v>
      </c>
      <c r="G18" s="2">
        <v>0.15</v>
      </c>
      <c r="H18" s="3">
        <v>45411</v>
      </c>
      <c r="I18" s="1">
        <v>298.38</v>
      </c>
      <c r="M18" s="8" t="s">
        <v>104</v>
      </c>
      <c r="N18" s="8">
        <v>-0.97824544662927337</v>
      </c>
      <c r="O18" s="8">
        <v>20.907197536053534</v>
      </c>
      <c r="P18" s="8">
        <v>-4.6789888742493228E-2</v>
      </c>
      <c r="Q18" s="8">
        <v>0.96272808608450733</v>
      </c>
      <c r="R18" s="8">
        <v>-42.208891362546005</v>
      </c>
      <c r="S18" s="8">
        <v>40.252400469287458</v>
      </c>
      <c r="T18" s="8">
        <v>-42.208891362546005</v>
      </c>
      <c r="U18" s="8">
        <v>40.252400469287458</v>
      </c>
    </row>
    <row r="19" spans="1:21" ht="28.8" x14ac:dyDescent="0.3">
      <c r="A19" s="1" t="s">
        <v>28</v>
      </c>
      <c r="B19" s="1" t="s">
        <v>45</v>
      </c>
      <c r="C19" s="1" t="s">
        <v>11</v>
      </c>
      <c r="D19" s="1" t="s">
        <v>12</v>
      </c>
      <c r="E19" s="1">
        <v>636.70000000000005</v>
      </c>
      <c r="F19" s="1">
        <v>4</v>
      </c>
      <c r="G19" s="2">
        <v>0.2</v>
      </c>
      <c r="H19" s="3">
        <v>45411</v>
      </c>
      <c r="I19" s="1">
        <v>203.74</v>
      </c>
      <c r="M19" s="8">
        <v>1036.0899999999999</v>
      </c>
      <c r="N19" s="8">
        <v>0.35096067947030868</v>
      </c>
      <c r="O19" s="8">
        <v>2.0484385572447462E-2</v>
      </c>
      <c r="P19" s="8">
        <v>17.133083061196064</v>
      </c>
      <c r="Q19" s="8">
        <v>6.8782375878393705E-41</v>
      </c>
      <c r="R19" s="8">
        <v>0.31056385216305021</v>
      </c>
      <c r="S19" s="8">
        <v>0.39135750677756714</v>
      </c>
      <c r="T19" s="8">
        <v>0.31056385216305021</v>
      </c>
      <c r="U19" s="8">
        <v>0.39135750677756714</v>
      </c>
    </row>
    <row r="20" spans="1:21" ht="28.8" x14ac:dyDescent="0.3">
      <c r="A20" s="1" t="s">
        <v>46</v>
      </c>
      <c r="B20" s="1" t="s">
        <v>47</v>
      </c>
      <c r="C20" s="1" t="s">
        <v>11</v>
      </c>
      <c r="D20" s="1" t="s">
        <v>12</v>
      </c>
      <c r="E20" s="1">
        <v>1506.14</v>
      </c>
      <c r="F20" s="1">
        <v>13</v>
      </c>
      <c r="G20" s="2">
        <v>0.2</v>
      </c>
      <c r="H20" s="3">
        <v>45412</v>
      </c>
      <c r="I20" s="1">
        <v>481.96</v>
      </c>
    </row>
    <row r="21" spans="1:21" ht="28.8" x14ac:dyDescent="0.3">
      <c r="A21" s="1" t="s">
        <v>30</v>
      </c>
      <c r="B21" s="1" t="s">
        <v>31</v>
      </c>
      <c r="C21" s="1" t="s">
        <v>34</v>
      </c>
      <c r="D21" s="1" t="s">
        <v>21</v>
      </c>
      <c r="E21" s="1">
        <v>645.02</v>
      </c>
      <c r="F21" s="1">
        <v>4</v>
      </c>
      <c r="G21" s="2">
        <v>0</v>
      </c>
      <c r="H21" s="3">
        <v>45414</v>
      </c>
      <c r="I21" s="1">
        <v>161.26</v>
      </c>
      <c r="M21" s="7" t="s">
        <v>118</v>
      </c>
      <c r="N21" s="27" t="s">
        <v>119</v>
      </c>
      <c r="O21" s="27"/>
      <c r="P21" s="27"/>
      <c r="Q21" s="27"/>
      <c r="R21" s="27"/>
      <c r="S21" s="27"/>
      <c r="T21" s="27"/>
    </row>
    <row r="22" spans="1:21" x14ac:dyDescent="0.3">
      <c r="A22" s="1" t="s">
        <v>25</v>
      </c>
      <c r="B22" s="1" t="s">
        <v>48</v>
      </c>
      <c r="C22" s="1" t="s">
        <v>20</v>
      </c>
      <c r="D22" s="1" t="s">
        <v>15</v>
      </c>
      <c r="E22" s="1">
        <v>953.3</v>
      </c>
      <c r="F22" s="1">
        <v>11</v>
      </c>
      <c r="G22" s="2">
        <v>0</v>
      </c>
      <c r="H22" s="3">
        <v>45415</v>
      </c>
      <c r="I22" s="1">
        <v>476.65</v>
      </c>
    </row>
    <row r="23" spans="1:21" ht="28.8" x14ac:dyDescent="0.3">
      <c r="A23" s="1" t="s">
        <v>49</v>
      </c>
      <c r="B23" s="1" t="s">
        <v>14</v>
      </c>
      <c r="C23" s="1" t="s">
        <v>24</v>
      </c>
      <c r="D23" s="1" t="s">
        <v>21</v>
      </c>
      <c r="E23" s="1">
        <v>388.56</v>
      </c>
      <c r="F23" s="1">
        <v>14</v>
      </c>
      <c r="G23" s="2">
        <v>0.15</v>
      </c>
      <c r="H23" s="3">
        <v>45416</v>
      </c>
      <c r="I23" s="1">
        <v>82.57</v>
      </c>
    </row>
    <row r="24" spans="1:21" ht="28.8" x14ac:dyDescent="0.3">
      <c r="A24" s="1" t="s">
        <v>9</v>
      </c>
      <c r="B24" s="1" t="s">
        <v>31</v>
      </c>
      <c r="C24" s="1" t="s">
        <v>11</v>
      </c>
      <c r="D24" s="1" t="s">
        <v>12</v>
      </c>
      <c r="E24" s="1">
        <v>743.17</v>
      </c>
      <c r="F24" s="1">
        <v>9</v>
      </c>
      <c r="G24" s="2">
        <v>0</v>
      </c>
      <c r="H24" s="3">
        <v>45416</v>
      </c>
      <c r="I24" s="1">
        <v>297.27</v>
      </c>
    </row>
    <row r="25" spans="1:21" ht="28.8" x14ac:dyDescent="0.3">
      <c r="A25" s="1" t="s">
        <v>40</v>
      </c>
      <c r="B25" s="1" t="s">
        <v>31</v>
      </c>
      <c r="C25" s="1" t="s">
        <v>34</v>
      </c>
      <c r="D25" s="1" t="s">
        <v>21</v>
      </c>
      <c r="E25" s="1">
        <v>706.37</v>
      </c>
      <c r="F25" s="1">
        <v>6</v>
      </c>
      <c r="G25" s="2">
        <v>0</v>
      </c>
      <c r="H25" s="3">
        <v>45416</v>
      </c>
      <c r="I25" s="1">
        <v>176.59</v>
      </c>
    </row>
    <row r="26" spans="1:21" ht="28.8" x14ac:dyDescent="0.3">
      <c r="A26" s="1" t="s">
        <v>13</v>
      </c>
      <c r="B26" s="1" t="s">
        <v>31</v>
      </c>
      <c r="C26" s="1" t="s">
        <v>34</v>
      </c>
      <c r="D26" s="1" t="s">
        <v>39</v>
      </c>
      <c r="E26" s="1">
        <v>925.31</v>
      </c>
      <c r="F26" s="1">
        <v>8</v>
      </c>
      <c r="G26" s="2">
        <v>0.1</v>
      </c>
      <c r="H26" s="3">
        <v>45418</v>
      </c>
      <c r="I26" s="1">
        <v>374.75</v>
      </c>
    </row>
    <row r="27" spans="1:21" ht="28.8" x14ac:dyDescent="0.3">
      <c r="A27" s="1" t="s">
        <v>35</v>
      </c>
      <c r="B27" s="1" t="s">
        <v>50</v>
      </c>
      <c r="C27" s="1" t="s">
        <v>20</v>
      </c>
      <c r="D27" s="1" t="s">
        <v>21</v>
      </c>
      <c r="E27" s="1">
        <v>1173.1199999999999</v>
      </c>
      <c r="F27" s="1">
        <v>18</v>
      </c>
      <c r="G27" s="2">
        <v>0</v>
      </c>
      <c r="H27" s="3">
        <v>45418</v>
      </c>
      <c r="I27" s="1">
        <v>293.27999999999997</v>
      </c>
    </row>
    <row r="28" spans="1:21" ht="28.8" x14ac:dyDescent="0.3">
      <c r="A28" s="1" t="s">
        <v>22</v>
      </c>
      <c r="B28" s="1" t="s">
        <v>51</v>
      </c>
      <c r="C28" s="1" t="s">
        <v>24</v>
      </c>
      <c r="D28" s="1" t="s">
        <v>27</v>
      </c>
      <c r="E28" s="1">
        <v>675.54</v>
      </c>
      <c r="F28" s="1">
        <v>17</v>
      </c>
      <c r="G28" s="2">
        <v>0</v>
      </c>
      <c r="H28" s="3">
        <v>45420</v>
      </c>
      <c r="I28" s="1">
        <v>236.44</v>
      </c>
    </row>
    <row r="29" spans="1:21" ht="28.8" x14ac:dyDescent="0.3">
      <c r="A29" s="1" t="s">
        <v>25</v>
      </c>
      <c r="B29" s="1" t="s">
        <v>14</v>
      </c>
      <c r="C29" s="1" t="s">
        <v>34</v>
      </c>
      <c r="D29" s="1" t="s">
        <v>12</v>
      </c>
      <c r="E29" s="1">
        <v>939.09</v>
      </c>
      <c r="F29" s="1">
        <v>2</v>
      </c>
      <c r="G29" s="2">
        <v>0.05</v>
      </c>
      <c r="H29" s="3">
        <v>45422</v>
      </c>
      <c r="I29" s="1">
        <v>356.85</v>
      </c>
    </row>
    <row r="30" spans="1:21" ht="28.8" x14ac:dyDescent="0.3">
      <c r="A30" s="1" t="s">
        <v>52</v>
      </c>
      <c r="B30" s="1" t="s">
        <v>53</v>
      </c>
      <c r="C30" s="1" t="s">
        <v>18</v>
      </c>
      <c r="D30" s="1" t="s">
        <v>39</v>
      </c>
      <c r="E30" s="1">
        <v>983.34</v>
      </c>
      <c r="F30" s="1">
        <v>19</v>
      </c>
      <c r="G30" s="2">
        <v>0.1</v>
      </c>
      <c r="H30" s="3">
        <v>45426</v>
      </c>
      <c r="I30" s="1">
        <v>398.25</v>
      </c>
    </row>
    <row r="31" spans="1:21" ht="28.8" x14ac:dyDescent="0.3">
      <c r="A31" s="1" t="s">
        <v>52</v>
      </c>
      <c r="B31" s="1" t="s">
        <v>23</v>
      </c>
      <c r="C31" s="1" t="s">
        <v>20</v>
      </c>
      <c r="D31" s="1" t="s">
        <v>21</v>
      </c>
      <c r="E31" s="1">
        <v>801.21</v>
      </c>
      <c r="F31" s="1">
        <v>3</v>
      </c>
      <c r="G31" s="2">
        <v>0.2</v>
      </c>
      <c r="H31" s="3">
        <v>45426</v>
      </c>
      <c r="I31" s="1">
        <v>160.24</v>
      </c>
    </row>
    <row r="32" spans="1:21" ht="28.8" x14ac:dyDescent="0.3">
      <c r="A32" s="1" t="s">
        <v>54</v>
      </c>
      <c r="B32" s="1" t="s">
        <v>55</v>
      </c>
      <c r="C32" s="1" t="s">
        <v>24</v>
      </c>
      <c r="D32" s="1" t="s">
        <v>21</v>
      </c>
      <c r="E32" s="1">
        <v>1450.71</v>
      </c>
      <c r="F32" s="1">
        <v>5</v>
      </c>
      <c r="G32" s="2">
        <v>0.1</v>
      </c>
      <c r="H32" s="3">
        <v>45427</v>
      </c>
      <c r="I32" s="1">
        <v>326.41000000000003</v>
      </c>
    </row>
    <row r="33" spans="1:9" ht="28.8" x14ac:dyDescent="0.3">
      <c r="A33" s="1" t="s">
        <v>49</v>
      </c>
      <c r="B33" s="1" t="s">
        <v>56</v>
      </c>
      <c r="C33" s="1" t="s">
        <v>34</v>
      </c>
      <c r="D33" s="1" t="s">
        <v>12</v>
      </c>
      <c r="E33" s="1">
        <v>1023.21</v>
      </c>
      <c r="F33" s="1">
        <v>18</v>
      </c>
      <c r="G33" s="2">
        <v>0.05</v>
      </c>
      <c r="H33" s="3">
        <v>45428</v>
      </c>
      <c r="I33" s="1">
        <v>388.82</v>
      </c>
    </row>
    <row r="34" spans="1:9" ht="28.8" x14ac:dyDescent="0.3">
      <c r="A34" s="1" t="s">
        <v>28</v>
      </c>
      <c r="B34" s="1" t="s">
        <v>47</v>
      </c>
      <c r="C34" s="1" t="s">
        <v>11</v>
      </c>
      <c r="D34" s="1" t="s">
        <v>27</v>
      </c>
      <c r="E34" s="1">
        <v>853.72</v>
      </c>
      <c r="F34" s="1">
        <v>5</v>
      </c>
      <c r="G34" s="2">
        <v>0.15</v>
      </c>
      <c r="H34" s="3">
        <v>45428</v>
      </c>
      <c r="I34" s="1">
        <v>253.98</v>
      </c>
    </row>
    <row r="35" spans="1:9" ht="28.8" x14ac:dyDescent="0.3">
      <c r="A35" s="1" t="s">
        <v>57</v>
      </c>
      <c r="B35" s="1" t="s">
        <v>43</v>
      </c>
      <c r="C35" s="1" t="s">
        <v>20</v>
      </c>
      <c r="D35" s="1" t="s">
        <v>21</v>
      </c>
      <c r="E35" s="1">
        <v>967.89</v>
      </c>
      <c r="F35" s="1">
        <v>10</v>
      </c>
      <c r="G35" s="2">
        <v>0.1</v>
      </c>
      <c r="H35" s="3">
        <v>45429</v>
      </c>
      <c r="I35" s="1">
        <v>217.78</v>
      </c>
    </row>
    <row r="36" spans="1:9" ht="28.8" x14ac:dyDescent="0.3">
      <c r="A36" s="1" t="s">
        <v>58</v>
      </c>
      <c r="B36" s="1" t="s">
        <v>53</v>
      </c>
      <c r="C36" s="1" t="s">
        <v>24</v>
      </c>
      <c r="D36" s="1" t="s">
        <v>39</v>
      </c>
      <c r="E36" s="1">
        <v>1200.9000000000001</v>
      </c>
      <c r="F36" s="1">
        <v>14</v>
      </c>
      <c r="G36" s="2">
        <v>0.05</v>
      </c>
      <c r="H36" s="3">
        <v>45429</v>
      </c>
      <c r="I36" s="1">
        <v>513.38</v>
      </c>
    </row>
    <row r="37" spans="1:9" ht="28.8" x14ac:dyDescent="0.3">
      <c r="A37" s="1" t="s">
        <v>13</v>
      </c>
      <c r="B37" s="1" t="s">
        <v>26</v>
      </c>
      <c r="C37" s="1" t="s">
        <v>11</v>
      </c>
      <c r="D37" s="1" t="s">
        <v>12</v>
      </c>
      <c r="E37" s="1">
        <v>472.38</v>
      </c>
      <c r="F37" s="1">
        <v>12</v>
      </c>
      <c r="G37" s="2">
        <v>0.2</v>
      </c>
      <c r="H37" s="3">
        <v>45429</v>
      </c>
      <c r="I37" s="1">
        <v>151.16</v>
      </c>
    </row>
    <row r="38" spans="1:9" ht="28.8"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ht="28.8" x14ac:dyDescent="0.3">
      <c r="A40" s="1" t="s">
        <v>44</v>
      </c>
      <c r="B40" s="1" t="s">
        <v>59</v>
      </c>
      <c r="C40" s="1" t="s">
        <v>34</v>
      </c>
      <c r="D40" s="1" t="s">
        <v>27</v>
      </c>
      <c r="E40" s="1">
        <v>773.09</v>
      </c>
      <c r="F40" s="1">
        <v>13</v>
      </c>
      <c r="G40" s="2">
        <v>0.15</v>
      </c>
      <c r="H40" s="3">
        <v>45434</v>
      </c>
      <c r="I40" s="1">
        <v>229.99</v>
      </c>
    </row>
    <row r="41" spans="1:9" ht="28.8" x14ac:dyDescent="0.3">
      <c r="A41" s="1" t="s">
        <v>60</v>
      </c>
      <c r="B41" s="1" t="s">
        <v>61</v>
      </c>
      <c r="C41" s="1" t="s">
        <v>18</v>
      </c>
      <c r="D41" s="1" t="s">
        <v>12</v>
      </c>
      <c r="E41" s="1">
        <v>580.42999999999995</v>
      </c>
      <c r="F41" s="1">
        <v>19</v>
      </c>
      <c r="G41" s="2">
        <v>0.15</v>
      </c>
      <c r="H41" s="3">
        <v>45435</v>
      </c>
      <c r="I41" s="1">
        <v>197.35</v>
      </c>
    </row>
    <row r="42" spans="1:9" ht="28.8" x14ac:dyDescent="0.3">
      <c r="A42" s="1" t="s">
        <v>19</v>
      </c>
      <c r="B42" s="1" t="s">
        <v>42</v>
      </c>
      <c r="C42" s="1" t="s">
        <v>20</v>
      </c>
      <c r="D42" s="1" t="s">
        <v>12</v>
      </c>
      <c r="E42" s="1">
        <v>1151.21</v>
      </c>
      <c r="F42" s="1">
        <v>15</v>
      </c>
      <c r="G42" s="2">
        <v>0.1</v>
      </c>
      <c r="H42" s="3">
        <v>45445</v>
      </c>
      <c r="I42" s="1">
        <v>414.44</v>
      </c>
    </row>
    <row r="43" spans="1:9" ht="28.8" x14ac:dyDescent="0.3">
      <c r="A43" s="1" t="s">
        <v>52</v>
      </c>
      <c r="B43" s="1" t="s">
        <v>23</v>
      </c>
      <c r="C43" s="1" t="s">
        <v>34</v>
      </c>
      <c r="D43" s="1" t="s">
        <v>39</v>
      </c>
      <c r="E43" s="1">
        <v>1025.98</v>
      </c>
      <c r="F43" s="1">
        <v>5</v>
      </c>
      <c r="G43" s="2">
        <v>0.2</v>
      </c>
      <c r="H43" s="3">
        <v>45447</v>
      </c>
      <c r="I43" s="1">
        <v>369.35</v>
      </c>
    </row>
    <row r="44" spans="1:9" ht="28.8" x14ac:dyDescent="0.3">
      <c r="A44" s="1" t="s">
        <v>40</v>
      </c>
      <c r="B44" s="1" t="s">
        <v>56</v>
      </c>
      <c r="C44" s="1" t="s">
        <v>18</v>
      </c>
      <c r="D44" s="1" t="s">
        <v>39</v>
      </c>
      <c r="E44" s="1">
        <v>556.41999999999996</v>
      </c>
      <c r="F44" s="1">
        <v>11</v>
      </c>
      <c r="G44" s="2">
        <v>0.15</v>
      </c>
      <c r="H44" s="3">
        <v>45447</v>
      </c>
      <c r="I44" s="1">
        <v>212.83</v>
      </c>
    </row>
    <row r="45" spans="1:9" ht="28.8" x14ac:dyDescent="0.3">
      <c r="A45" s="1" t="s">
        <v>57</v>
      </c>
      <c r="B45" s="1" t="s">
        <v>23</v>
      </c>
      <c r="C45" s="1" t="s">
        <v>34</v>
      </c>
      <c r="D45" s="1" t="s">
        <v>12</v>
      </c>
      <c r="E45" s="1">
        <v>840.85</v>
      </c>
      <c r="F45" s="1">
        <v>19</v>
      </c>
      <c r="G45" s="2">
        <v>0.1</v>
      </c>
      <c r="H45" s="3">
        <v>45448</v>
      </c>
      <c r="I45" s="1">
        <v>302.70999999999998</v>
      </c>
    </row>
    <row r="46" spans="1:9" ht="28.8" x14ac:dyDescent="0.3">
      <c r="A46" s="1" t="s">
        <v>30</v>
      </c>
      <c r="B46" s="1" t="s">
        <v>61</v>
      </c>
      <c r="C46" s="1" t="s">
        <v>24</v>
      </c>
      <c r="D46" s="1" t="s">
        <v>27</v>
      </c>
      <c r="E46" s="1">
        <v>1227.25</v>
      </c>
      <c r="F46" s="1">
        <v>12</v>
      </c>
      <c r="G46" s="2">
        <v>0.15</v>
      </c>
      <c r="H46" s="3">
        <v>45448</v>
      </c>
      <c r="I46" s="1">
        <v>365.11</v>
      </c>
    </row>
    <row r="47" spans="1:9" ht="28.8" x14ac:dyDescent="0.3">
      <c r="A47" s="1" t="s">
        <v>16</v>
      </c>
      <c r="B47" s="1" t="s">
        <v>62</v>
      </c>
      <c r="C47" s="1" t="s">
        <v>34</v>
      </c>
      <c r="D47" s="1" t="s">
        <v>21</v>
      </c>
      <c r="E47" s="1">
        <v>856.7</v>
      </c>
      <c r="F47" s="1">
        <v>2</v>
      </c>
      <c r="G47" s="2">
        <v>0</v>
      </c>
      <c r="H47" s="3">
        <v>45449</v>
      </c>
      <c r="I47" s="1">
        <v>214.18</v>
      </c>
    </row>
    <row r="48" spans="1:9" ht="28.8" x14ac:dyDescent="0.3">
      <c r="A48" s="1" t="s">
        <v>54</v>
      </c>
      <c r="B48" s="1" t="s">
        <v>56</v>
      </c>
      <c r="C48" s="1" t="s">
        <v>34</v>
      </c>
      <c r="D48" s="1" t="s">
        <v>39</v>
      </c>
      <c r="E48" s="1">
        <v>1225.42</v>
      </c>
      <c r="F48" s="1">
        <v>8</v>
      </c>
      <c r="G48" s="2">
        <v>0.15</v>
      </c>
      <c r="H48" s="3">
        <v>45449</v>
      </c>
      <c r="I48" s="1">
        <v>468.72</v>
      </c>
    </row>
    <row r="49" spans="1:9" ht="28.8" x14ac:dyDescent="0.3">
      <c r="A49" s="1" t="s">
        <v>63</v>
      </c>
      <c r="B49" s="1" t="s">
        <v>31</v>
      </c>
      <c r="C49" s="1" t="s">
        <v>24</v>
      </c>
      <c r="D49" s="1" t="s">
        <v>39</v>
      </c>
      <c r="E49" s="1">
        <v>1001.57</v>
      </c>
      <c r="F49" s="1">
        <v>12</v>
      </c>
      <c r="G49" s="2">
        <v>0</v>
      </c>
      <c r="H49" s="3">
        <v>45450</v>
      </c>
      <c r="I49" s="1">
        <v>450.71</v>
      </c>
    </row>
    <row r="50" spans="1:9" ht="28.8" x14ac:dyDescent="0.3">
      <c r="A50" s="1" t="s">
        <v>57</v>
      </c>
      <c r="B50" s="1" t="s">
        <v>26</v>
      </c>
      <c r="C50" s="1" t="s">
        <v>18</v>
      </c>
      <c r="D50" s="1" t="s">
        <v>27</v>
      </c>
      <c r="E50" s="1">
        <v>1186.8499999999999</v>
      </c>
      <c r="F50" s="1">
        <v>19</v>
      </c>
      <c r="G50" s="2">
        <v>0.2</v>
      </c>
      <c r="H50" s="3">
        <v>45451</v>
      </c>
      <c r="I50" s="1">
        <v>332.32</v>
      </c>
    </row>
    <row r="51" spans="1:9" ht="28.8" x14ac:dyDescent="0.3">
      <c r="A51" s="1" t="s">
        <v>44</v>
      </c>
      <c r="B51" s="1" t="s">
        <v>51</v>
      </c>
      <c r="C51" s="1" t="s">
        <v>20</v>
      </c>
      <c r="D51" s="1" t="s">
        <v>21</v>
      </c>
      <c r="E51" s="1">
        <v>775.45</v>
      </c>
      <c r="F51" s="1">
        <v>6</v>
      </c>
      <c r="G51" s="2">
        <v>0.1</v>
      </c>
      <c r="H51" s="3">
        <v>45457</v>
      </c>
      <c r="I51" s="1">
        <v>174.48</v>
      </c>
    </row>
    <row r="52" spans="1:9" ht="28.8" x14ac:dyDescent="0.3">
      <c r="A52" s="1" t="s">
        <v>25</v>
      </c>
      <c r="B52" s="1" t="s">
        <v>33</v>
      </c>
      <c r="C52" s="1" t="s">
        <v>20</v>
      </c>
      <c r="D52" s="1" t="s">
        <v>21</v>
      </c>
      <c r="E52" s="1">
        <v>1021.47</v>
      </c>
      <c r="F52" s="1">
        <v>6</v>
      </c>
      <c r="G52" s="2">
        <v>0.05</v>
      </c>
      <c r="H52" s="3">
        <v>45461</v>
      </c>
      <c r="I52" s="1">
        <v>242.6</v>
      </c>
    </row>
    <row r="53" spans="1:9" ht="28.8" x14ac:dyDescent="0.3">
      <c r="A53" s="1" t="s">
        <v>58</v>
      </c>
      <c r="B53" s="1" t="s">
        <v>23</v>
      </c>
      <c r="C53" s="1" t="s">
        <v>20</v>
      </c>
      <c r="D53" s="1" t="s">
        <v>15</v>
      </c>
      <c r="E53" s="1">
        <v>1226.6199999999999</v>
      </c>
      <c r="F53" s="1">
        <v>7</v>
      </c>
      <c r="G53" s="2">
        <v>0.1</v>
      </c>
      <c r="H53" s="3">
        <v>45463</v>
      </c>
      <c r="I53" s="1">
        <v>551.98</v>
      </c>
    </row>
    <row r="54" spans="1:9" ht="28.8"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ht="28.8" x14ac:dyDescent="0.3">
      <c r="A56" s="1" t="s">
        <v>32</v>
      </c>
      <c r="B56" s="1" t="s">
        <v>38</v>
      </c>
      <c r="C56" s="1" t="s">
        <v>24</v>
      </c>
      <c r="D56" s="1" t="s">
        <v>21</v>
      </c>
      <c r="E56" s="1">
        <v>818.8</v>
      </c>
      <c r="F56" s="1">
        <v>15</v>
      </c>
      <c r="G56" s="2">
        <v>0.15</v>
      </c>
      <c r="H56" s="3">
        <v>45468</v>
      </c>
      <c r="I56" s="1">
        <v>173.99</v>
      </c>
    </row>
    <row r="57" spans="1:9" ht="28.8" x14ac:dyDescent="0.3">
      <c r="A57" s="1" t="s">
        <v>19</v>
      </c>
      <c r="B57" s="1" t="s">
        <v>14</v>
      </c>
      <c r="C57" s="1" t="s">
        <v>20</v>
      </c>
      <c r="D57" s="1" t="s">
        <v>27</v>
      </c>
      <c r="E57" s="1">
        <v>919.04</v>
      </c>
      <c r="F57" s="1">
        <v>10</v>
      </c>
      <c r="G57" s="2">
        <v>0.2</v>
      </c>
      <c r="H57" s="3">
        <v>45468</v>
      </c>
      <c r="I57" s="1">
        <v>257.33</v>
      </c>
    </row>
    <row r="58" spans="1:9" ht="28.8" x14ac:dyDescent="0.3">
      <c r="A58" s="1" t="s">
        <v>22</v>
      </c>
      <c r="B58" s="1" t="s">
        <v>66</v>
      </c>
      <c r="C58" s="1" t="s">
        <v>34</v>
      </c>
      <c r="D58" s="1" t="s">
        <v>12</v>
      </c>
      <c r="E58" s="1">
        <v>973.26</v>
      </c>
      <c r="F58" s="1">
        <v>11</v>
      </c>
      <c r="G58" s="2">
        <v>0</v>
      </c>
      <c r="H58" s="3">
        <v>45470</v>
      </c>
      <c r="I58" s="1">
        <v>389.3</v>
      </c>
    </row>
    <row r="59" spans="1:9" ht="28.8" x14ac:dyDescent="0.3">
      <c r="A59" s="1" t="s">
        <v>41</v>
      </c>
      <c r="B59" s="1" t="s">
        <v>64</v>
      </c>
      <c r="C59" s="1" t="s">
        <v>24</v>
      </c>
      <c r="D59" s="1" t="s">
        <v>21</v>
      </c>
      <c r="E59" s="1">
        <v>741.61</v>
      </c>
      <c r="F59" s="1">
        <v>1</v>
      </c>
      <c r="G59" s="2">
        <v>0.2</v>
      </c>
      <c r="H59" s="3">
        <v>45471</v>
      </c>
      <c r="I59" s="1">
        <v>148.32</v>
      </c>
    </row>
    <row r="60" spans="1:9" ht="28.8" x14ac:dyDescent="0.3">
      <c r="A60" s="1" t="s">
        <v>67</v>
      </c>
      <c r="B60" s="1" t="s">
        <v>38</v>
      </c>
      <c r="C60" s="1" t="s">
        <v>24</v>
      </c>
      <c r="D60" s="1" t="s">
        <v>12</v>
      </c>
      <c r="E60" s="1">
        <v>1248.82</v>
      </c>
      <c r="F60" s="1">
        <v>2</v>
      </c>
      <c r="G60" s="2">
        <v>0.1</v>
      </c>
      <c r="H60" s="3">
        <v>45473</v>
      </c>
      <c r="I60" s="1">
        <v>449.58</v>
      </c>
    </row>
    <row r="61" spans="1:9" ht="28.8" x14ac:dyDescent="0.3">
      <c r="A61" s="1" t="s">
        <v>13</v>
      </c>
      <c r="B61" s="1" t="s">
        <v>59</v>
      </c>
      <c r="C61" s="1" t="s">
        <v>11</v>
      </c>
      <c r="D61" s="1" t="s">
        <v>15</v>
      </c>
      <c r="E61" s="1">
        <v>1360.36</v>
      </c>
      <c r="F61" s="1">
        <v>17</v>
      </c>
      <c r="G61" s="2">
        <v>0</v>
      </c>
      <c r="H61" s="3">
        <v>45473</v>
      </c>
      <c r="I61" s="1">
        <v>680.18</v>
      </c>
    </row>
    <row r="62" spans="1:9" ht="28.8" x14ac:dyDescent="0.3">
      <c r="A62" s="1" t="s">
        <v>57</v>
      </c>
      <c r="B62" s="1" t="s">
        <v>31</v>
      </c>
      <c r="C62" s="1" t="s">
        <v>18</v>
      </c>
      <c r="D62" s="1" t="s">
        <v>12</v>
      </c>
      <c r="E62" s="1">
        <v>1383.3</v>
      </c>
      <c r="F62" s="1">
        <v>8</v>
      </c>
      <c r="G62" s="2">
        <v>0.1</v>
      </c>
      <c r="H62" s="3">
        <v>45478</v>
      </c>
      <c r="I62" s="1">
        <v>497.99</v>
      </c>
    </row>
    <row r="63" spans="1:9" ht="28.8" x14ac:dyDescent="0.3">
      <c r="A63" s="1" t="s">
        <v>35</v>
      </c>
      <c r="B63" s="1" t="s">
        <v>55</v>
      </c>
      <c r="C63" s="1" t="s">
        <v>34</v>
      </c>
      <c r="D63" s="1" t="s">
        <v>39</v>
      </c>
      <c r="E63" s="1">
        <v>488.99</v>
      </c>
      <c r="F63" s="1">
        <v>9</v>
      </c>
      <c r="G63" s="2">
        <v>0</v>
      </c>
      <c r="H63" s="3">
        <v>45479</v>
      </c>
      <c r="I63" s="1">
        <v>220.05</v>
      </c>
    </row>
    <row r="64" spans="1:9" ht="28.8" x14ac:dyDescent="0.3">
      <c r="A64" s="1" t="s">
        <v>30</v>
      </c>
      <c r="B64" s="1" t="s">
        <v>31</v>
      </c>
      <c r="C64" s="1" t="s">
        <v>18</v>
      </c>
      <c r="D64" s="1" t="s">
        <v>27</v>
      </c>
      <c r="E64" s="1">
        <v>933.71</v>
      </c>
      <c r="F64" s="1">
        <v>17</v>
      </c>
      <c r="G64" s="2">
        <v>0.1</v>
      </c>
      <c r="H64" s="3">
        <v>45481</v>
      </c>
      <c r="I64" s="1">
        <v>294.12</v>
      </c>
    </row>
    <row r="65" spans="1:9" ht="28.8" x14ac:dyDescent="0.3">
      <c r="A65" s="1" t="s">
        <v>67</v>
      </c>
      <c r="B65" s="1" t="s">
        <v>10</v>
      </c>
      <c r="C65" s="1" t="s">
        <v>11</v>
      </c>
      <c r="D65" s="1" t="s">
        <v>21</v>
      </c>
      <c r="E65" s="1">
        <v>1005.53</v>
      </c>
      <c r="F65" s="1">
        <v>17</v>
      </c>
      <c r="G65" s="2">
        <v>0.2</v>
      </c>
      <c r="H65" s="3">
        <v>45481</v>
      </c>
      <c r="I65" s="1">
        <v>201.11</v>
      </c>
    </row>
    <row r="66" spans="1:9" ht="28.8" x14ac:dyDescent="0.3">
      <c r="A66" s="1" t="s">
        <v>41</v>
      </c>
      <c r="B66" s="1" t="s">
        <v>61</v>
      </c>
      <c r="C66" s="1" t="s">
        <v>20</v>
      </c>
      <c r="D66" s="1" t="s">
        <v>21</v>
      </c>
      <c r="E66" s="1">
        <v>1100.0999999999999</v>
      </c>
      <c r="F66" s="1">
        <v>5</v>
      </c>
      <c r="G66" s="2">
        <v>0.05</v>
      </c>
      <c r="H66" s="3">
        <v>45482</v>
      </c>
      <c r="I66" s="1">
        <v>261.27</v>
      </c>
    </row>
    <row r="67" spans="1:9" ht="28.8" x14ac:dyDescent="0.3">
      <c r="A67" s="1" t="s">
        <v>67</v>
      </c>
      <c r="B67" s="1" t="s">
        <v>23</v>
      </c>
      <c r="C67" s="1" t="s">
        <v>24</v>
      </c>
      <c r="D67" s="1" t="s">
        <v>27</v>
      </c>
      <c r="E67" s="1">
        <v>1034.7</v>
      </c>
      <c r="F67" s="1">
        <v>15</v>
      </c>
      <c r="G67" s="2">
        <v>0.15</v>
      </c>
      <c r="H67" s="3">
        <v>45487</v>
      </c>
      <c r="I67" s="1">
        <v>307.82</v>
      </c>
    </row>
    <row r="68" spans="1:9" ht="28.8" x14ac:dyDescent="0.3">
      <c r="A68" s="1" t="s">
        <v>65</v>
      </c>
      <c r="B68" s="1" t="s">
        <v>31</v>
      </c>
      <c r="C68" s="1" t="s">
        <v>20</v>
      </c>
      <c r="D68" s="1" t="s">
        <v>12</v>
      </c>
      <c r="E68" s="1">
        <v>876.44</v>
      </c>
      <c r="F68" s="1">
        <v>12</v>
      </c>
      <c r="G68" s="2">
        <v>0.05</v>
      </c>
      <c r="H68" s="3">
        <v>45488</v>
      </c>
      <c r="I68" s="1">
        <v>333.05</v>
      </c>
    </row>
    <row r="69" spans="1:9" ht="28.8" x14ac:dyDescent="0.3">
      <c r="A69" s="1" t="s">
        <v>68</v>
      </c>
      <c r="B69" s="1" t="s">
        <v>55</v>
      </c>
      <c r="C69" s="1" t="s">
        <v>11</v>
      </c>
      <c r="D69" s="1" t="s">
        <v>27</v>
      </c>
      <c r="E69" s="1">
        <v>1371.34</v>
      </c>
      <c r="F69" s="1">
        <v>5</v>
      </c>
      <c r="G69" s="2">
        <v>0.05</v>
      </c>
      <c r="H69" s="3">
        <v>45488</v>
      </c>
      <c r="I69" s="1">
        <v>455.97</v>
      </c>
    </row>
    <row r="70" spans="1:9" ht="28.8" x14ac:dyDescent="0.3">
      <c r="A70" s="1" t="s">
        <v>57</v>
      </c>
      <c r="B70" s="1" t="s">
        <v>47</v>
      </c>
      <c r="C70" s="1" t="s">
        <v>24</v>
      </c>
      <c r="D70" s="1" t="s">
        <v>21</v>
      </c>
      <c r="E70" s="1">
        <v>1020.26</v>
      </c>
      <c r="F70" s="1">
        <v>11</v>
      </c>
      <c r="G70" s="2">
        <v>0.05</v>
      </c>
      <c r="H70" s="3">
        <v>45494</v>
      </c>
      <c r="I70" s="1">
        <v>242.31</v>
      </c>
    </row>
    <row r="71" spans="1:9" ht="28.8" x14ac:dyDescent="0.3">
      <c r="A71" s="1" t="s">
        <v>44</v>
      </c>
      <c r="B71" s="1" t="s">
        <v>10</v>
      </c>
      <c r="C71" s="1" t="s">
        <v>34</v>
      </c>
      <c r="D71" s="1" t="s">
        <v>39</v>
      </c>
      <c r="E71" s="1">
        <v>804.81</v>
      </c>
      <c r="F71" s="1">
        <v>1</v>
      </c>
      <c r="G71" s="2">
        <v>0.05</v>
      </c>
      <c r="H71" s="3">
        <v>45502</v>
      </c>
      <c r="I71" s="1">
        <v>344.06</v>
      </c>
    </row>
    <row r="72" spans="1:9" ht="28.8" x14ac:dyDescent="0.3">
      <c r="A72" s="1" t="s">
        <v>22</v>
      </c>
      <c r="B72" s="1" t="s">
        <v>55</v>
      </c>
      <c r="C72" s="1" t="s">
        <v>34</v>
      </c>
      <c r="D72" s="1" t="s">
        <v>21</v>
      </c>
      <c r="E72" s="1">
        <v>608.66</v>
      </c>
      <c r="F72" s="1">
        <v>1</v>
      </c>
      <c r="G72" s="2">
        <v>0.05</v>
      </c>
      <c r="H72" s="3">
        <v>45503</v>
      </c>
      <c r="I72" s="1">
        <v>144.56</v>
      </c>
    </row>
    <row r="73" spans="1:9" ht="28.8" x14ac:dyDescent="0.3">
      <c r="A73" s="1" t="s">
        <v>68</v>
      </c>
      <c r="B73" s="1" t="s">
        <v>69</v>
      </c>
      <c r="C73" s="1" t="s">
        <v>20</v>
      </c>
      <c r="D73" s="1" t="s">
        <v>39</v>
      </c>
      <c r="E73" s="1">
        <v>981.2</v>
      </c>
      <c r="F73" s="1">
        <v>19</v>
      </c>
      <c r="G73" s="2">
        <v>0</v>
      </c>
      <c r="H73" s="3">
        <v>45504</v>
      </c>
      <c r="I73" s="1">
        <v>441.54</v>
      </c>
    </row>
    <row r="74" spans="1:9" ht="28.8" x14ac:dyDescent="0.3">
      <c r="A74" s="1" t="s">
        <v>70</v>
      </c>
      <c r="B74" s="1" t="s">
        <v>55</v>
      </c>
      <c r="C74" s="1" t="s">
        <v>18</v>
      </c>
      <c r="D74" s="1" t="s">
        <v>21</v>
      </c>
      <c r="E74" s="1">
        <v>539.77</v>
      </c>
      <c r="F74" s="1">
        <v>10</v>
      </c>
      <c r="G74" s="2">
        <v>0.15</v>
      </c>
      <c r="H74" s="3">
        <v>45509</v>
      </c>
      <c r="I74" s="1">
        <v>114.7</v>
      </c>
    </row>
    <row r="75" spans="1:9" ht="28.8" x14ac:dyDescent="0.3">
      <c r="A75" s="1" t="s">
        <v>13</v>
      </c>
      <c r="B75" s="1" t="s">
        <v>71</v>
      </c>
      <c r="C75" s="1" t="s">
        <v>20</v>
      </c>
      <c r="D75" s="1" t="s">
        <v>12</v>
      </c>
      <c r="E75" s="1">
        <v>804.45</v>
      </c>
      <c r="F75" s="1">
        <v>5</v>
      </c>
      <c r="G75" s="2">
        <v>0.2</v>
      </c>
      <c r="H75" s="3">
        <v>45509</v>
      </c>
      <c r="I75" s="1">
        <v>257.42</v>
      </c>
    </row>
    <row r="76" spans="1:9" ht="28.8" x14ac:dyDescent="0.3">
      <c r="A76" s="1" t="s">
        <v>70</v>
      </c>
      <c r="B76" s="1" t="s">
        <v>38</v>
      </c>
      <c r="C76" s="1" t="s">
        <v>11</v>
      </c>
      <c r="D76" s="1" t="s">
        <v>21</v>
      </c>
      <c r="E76" s="1">
        <v>1526.6</v>
      </c>
      <c r="F76" s="1">
        <v>13</v>
      </c>
      <c r="G76" s="2">
        <v>0.2</v>
      </c>
      <c r="H76" s="3">
        <v>45512</v>
      </c>
      <c r="I76" s="1">
        <v>305.32</v>
      </c>
    </row>
    <row r="77" spans="1:9" ht="28.8" x14ac:dyDescent="0.3">
      <c r="A77" s="1" t="s">
        <v>13</v>
      </c>
      <c r="B77" s="1" t="s">
        <v>29</v>
      </c>
      <c r="C77" s="1" t="s">
        <v>11</v>
      </c>
      <c r="D77" s="1" t="s">
        <v>21</v>
      </c>
      <c r="E77" s="1">
        <v>1215.26</v>
      </c>
      <c r="F77" s="1">
        <v>5</v>
      </c>
      <c r="G77" s="2">
        <v>0.15</v>
      </c>
      <c r="H77" s="3">
        <v>45513</v>
      </c>
      <c r="I77" s="1">
        <v>258.24</v>
      </c>
    </row>
    <row r="78" spans="1:9" ht="28.8" x14ac:dyDescent="0.3">
      <c r="A78" s="1" t="s">
        <v>19</v>
      </c>
      <c r="B78" s="1" t="s">
        <v>53</v>
      </c>
      <c r="C78" s="1" t="s">
        <v>34</v>
      </c>
      <c r="D78" s="1" t="s">
        <v>27</v>
      </c>
      <c r="E78" s="1">
        <v>1261.3399999999999</v>
      </c>
      <c r="F78" s="1">
        <v>3</v>
      </c>
      <c r="G78" s="2">
        <v>0</v>
      </c>
      <c r="H78" s="3">
        <v>45519</v>
      </c>
      <c r="I78" s="1">
        <v>441.47</v>
      </c>
    </row>
    <row r="79" spans="1:9" ht="28.8" x14ac:dyDescent="0.3">
      <c r="A79" s="1" t="s">
        <v>72</v>
      </c>
      <c r="B79" s="1" t="s">
        <v>45</v>
      </c>
      <c r="C79" s="1" t="s">
        <v>24</v>
      </c>
      <c r="D79" s="1" t="s">
        <v>27</v>
      </c>
      <c r="E79" s="1">
        <v>518.07000000000005</v>
      </c>
      <c r="F79" s="1">
        <v>7</v>
      </c>
      <c r="G79" s="2">
        <v>0.05</v>
      </c>
      <c r="H79" s="3">
        <v>45522</v>
      </c>
      <c r="I79" s="1">
        <v>172.26</v>
      </c>
    </row>
    <row r="80" spans="1:9" ht="28.8" x14ac:dyDescent="0.3">
      <c r="A80" s="1" t="s">
        <v>30</v>
      </c>
      <c r="B80" s="1" t="s">
        <v>29</v>
      </c>
      <c r="C80" s="1" t="s">
        <v>11</v>
      </c>
      <c r="D80" s="1" t="s">
        <v>39</v>
      </c>
      <c r="E80" s="1">
        <v>1111.3399999999999</v>
      </c>
      <c r="F80" s="1">
        <v>1</v>
      </c>
      <c r="G80" s="2">
        <v>0</v>
      </c>
      <c r="H80" s="3">
        <v>45523</v>
      </c>
      <c r="I80" s="1">
        <v>500.1</v>
      </c>
    </row>
    <row r="81" spans="1:9" ht="28.8" x14ac:dyDescent="0.3">
      <c r="A81" s="1" t="s">
        <v>22</v>
      </c>
      <c r="B81" s="1" t="s">
        <v>31</v>
      </c>
      <c r="C81" s="1" t="s">
        <v>18</v>
      </c>
      <c r="D81" s="1" t="s">
        <v>15</v>
      </c>
      <c r="E81" s="1">
        <v>1291.47</v>
      </c>
      <c r="F81" s="1">
        <v>18</v>
      </c>
      <c r="G81" s="2">
        <v>0.1</v>
      </c>
      <c r="H81" s="3">
        <v>45526</v>
      </c>
      <c r="I81" s="1">
        <v>581.16</v>
      </c>
    </row>
    <row r="82" spans="1:9" ht="28.8" x14ac:dyDescent="0.3">
      <c r="A82" s="1" t="s">
        <v>25</v>
      </c>
      <c r="B82" s="1" t="s">
        <v>55</v>
      </c>
      <c r="C82" s="1" t="s">
        <v>24</v>
      </c>
      <c r="D82" s="1" t="s">
        <v>12</v>
      </c>
      <c r="E82" s="1">
        <v>679.71</v>
      </c>
      <c r="F82" s="1">
        <v>19</v>
      </c>
      <c r="G82" s="2">
        <v>0</v>
      </c>
      <c r="H82" s="3">
        <v>45534</v>
      </c>
      <c r="I82" s="1">
        <v>271.88</v>
      </c>
    </row>
    <row r="83" spans="1:9" ht="28.8" x14ac:dyDescent="0.3">
      <c r="A83" s="1" t="s">
        <v>68</v>
      </c>
      <c r="B83" s="1" t="s">
        <v>33</v>
      </c>
      <c r="C83" s="1" t="s">
        <v>18</v>
      </c>
      <c r="D83" s="1" t="s">
        <v>27</v>
      </c>
      <c r="E83" s="1">
        <v>1143.69</v>
      </c>
      <c r="F83" s="1">
        <v>17</v>
      </c>
      <c r="G83" s="2">
        <v>0</v>
      </c>
      <c r="H83" s="3">
        <v>45534</v>
      </c>
      <c r="I83" s="1">
        <v>400.29</v>
      </c>
    </row>
    <row r="84" spans="1:9" ht="28.8"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ht="28.8" x14ac:dyDescent="0.3">
      <c r="A86" s="1" t="s">
        <v>58</v>
      </c>
      <c r="B86" s="1" t="s">
        <v>36</v>
      </c>
      <c r="C86" s="1" t="s">
        <v>11</v>
      </c>
      <c r="D86" s="1" t="s">
        <v>15</v>
      </c>
      <c r="E86" s="1">
        <v>1168.8900000000001</v>
      </c>
      <c r="F86" s="1">
        <v>4</v>
      </c>
      <c r="G86" s="2">
        <v>0.1</v>
      </c>
      <c r="H86" s="3">
        <v>45544</v>
      </c>
      <c r="I86" s="1">
        <v>526</v>
      </c>
    </row>
    <row r="87" spans="1:9" ht="28.8" x14ac:dyDescent="0.3">
      <c r="A87" s="1" t="s">
        <v>67</v>
      </c>
      <c r="B87" s="1" t="s">
        <v>10</v>
      </c>
      <c r="C87" s="1" t="s">
        <v>20</v>
      </c>
      <c r="D87" s="1" t="s">
        <v>21</v>
      </c>
      <c r="E87" s="1">
        <v>1335.87</v>
      </c>
      <c r="F87" s="1">
        <v>17</v>
      </c>
      <c r="G87" s="2">
        <v>0</v>
      </c>
      <c r="H87" s="3">
        <v>45544</v>
      </c>
      <c r="I87" s="1">
        <v>333.97</v>
      </c>
    </row>
    <row r="88" spans="1:9" ht="28.8" x14ac:dyDescent="0.3">
      <c r="A88" s="1" t="s">
        <v>40</v>
      </c>
      <c r="B88" s="1" t="s">
        <v>55</v>
      </c>
      <c r="C88" s="1" t="s">
        <v>18</v>
      </c>
      <c r="D88" s="1" t="s">
        <v>27</v>
      </c>
      <c r="E88" s="1">
        <v>873.7</v>
      </c>
      <c r="F88" s="1">
        <v>9</v>
      </c>
      <c r="G88" s="2">
        <v>0</v>
      </c>
      <c r="H88" s="3">
        <v>45546</v>
      </c>
      <c r="I88" s="1">
        <v>305.8</v>
      </c>
    </row>
    <row r="89" spans="1:9" ht="28.8" x14ac:dyDescent="0.3">
      <c r="A89" s="1" t="s">
        <v>72</v>
      </c>
      <c r="B89" s="1" t="s">
        <v>64</v>
      </c>
      <c r="C89" s="1" t="s">
        <v>11</v>
      </c>
      <c r="D89" s="1" t="s">
        <v>39</v>
      </c>
      <c r="E89" s="1">
        <v>1443.98</v>
      </c>
      <c r="F89" s="1">
        <v>19</v>
      </c>
      <c r="G89" s="2">
        <v>0</v>
      </c>
      <c r="H89" s="3">
        <v>45547</v>
      </c>
      <c r="I89" s="1">
        <v>649.79</v>
      </c>
    </row>
    <row r="90" spans="1:9" ht="28.8" x14ac:dyDescent="0.3">
      <c r="A90" s="1" t="s">
        <v>40</v>
      </c>
      <c r="B90" s="1" t="s">
        <v>23</v>
      </c>
      <c r="C90" s="1" t="s">
        <v>18</v>
      </c>
      <c r="D90" s="1" t="s">
        <v>39</v>
      </c>
      <c r="E90" s="1">
        <v>1154.33</v>
      </c>
      <c r="F90" s="1">
        <v>11</v>
      </c>
      <c r="G90" s="2">
        <v>0.15</v>
      </c>
      <c r="H90" s="3">
        <v>45549</v>
      </c>
      <c r="I90" s="1">
        <v>441.53</v>
      </c>
    </row>
    <row r="91" spans="1:9" ht="28.8" x14ac:dyDescent="0.3">
      <c r="A91" s="1" t="s">
        <v>49</v>
      </c>
      <c r="B91" s="1" t="s">
        <v>50</v>
      </c>
      <c r="C91" s="1" t="s">
        <v>20</v>
      </c>
      <c r="D91" s="1" t="s">
        <v>12</v>
      </c>
      <c r="E91" s="1">
        <v>1264.49</v>
      </c>
      <c r="F91" s="1">
        <v>16</v>
      </c>
      <c r="G91" s="2">
        <v>0.05</v>
      </c>
      <c r="H91" s="3">
        <v>45549</v>
      </c>
      <c r="I91" s="1">
        <v>480.51</v>
      </c>
    </row>
    <row r="92" spans="1:9" ht="28.8" x14ac:dyDescent="0.3">
      <c r="A92" s="1" t="s">
        <v>25</v>
      </c>
      <c r="B92" s="1" t="s">
        <v>66</v>
      </c>
      <c r="C92" s="1" t="s">
        <v>11</v>
      </c>
      <c r="D92" s="1" t="s">
        <v>27</v>
      </c>
      <c r="E92" s="1">
        <v>1101.55</v>
      </c>
      <c r="F92" s="1">
        <v>4</v>
      </c>
      <c r="G92" s="2">
        <v>0.1</v>
      </c>
      <c r="H92" s="3">
        <v>45551</v>
      </c>
      <c r="I92" s="1">
        <v>346.99</v>
      </c>
    </row>
    <row r="93" spans="1:9" ht="28.8" x14ac:dyDescent="0.3">
      <c r="A93" s="1" t="s">
        <v>73</v>
      </c>
      <c r="B93" s="1" t="s">
        <v>14</v>
      </c>
      <c r="C93" s="1" t="s">
        <v>20</v>
      </c>
      <c r="D93" s="1" t="s">
        <v>27</v>
      </c>
      <c r="E93" s="1">
        <v>727.73</v>
      </c>
      <c r="F93" s="1">
        <v>1</v>
      </c>
      <c r="G93" s="2">
        <v>0.1</v>
      </c>
      <c r="H93" s="3">
        <v>45552</v>
      </c>
      <c r="I93" s="1">
        <v>229.23</v>
      </c>
    </row>
    <row r="94" spans="1:9" ht="28.8" x14ac:dyDescent="0.3">
      <c r="A94" s="1" t="s">
        <v>74</v>
      </c>
      <c r="B94" s="1" t="s">
        <v>38</v>
      </c>
      <c r="C94" s="1" t="s">
        <v>18</v>
      </c>
      <c r="D94" s="1" t="s">
        <v>39</v>
      </c>
      <c r="E94" s="1">
        <v>875.41</v>
      </c>
      <c r="F94" s="1">
        <v>13</v>
      </c>
      <c r="G94" s="2">
        <v>0.15</v>
      </c>
      <c r="H94" s="3">
        <v>45552</v>
      </c>
      <c r="I94" s="1">
        <v>334.84</v>
      </c>
    </row>
    <row r="95" spans="1:9" ht="28.8" x14ac:dyDescent="0.3">
      <c r="A95" s="1" t="s">
        <v>67</v>
      </c>
      <c r="B95" s="1" t="s">
        <v>23</v>
      </c>
      <c r="C95" s="1" t="s">
        <v>11</v>
      </c>
      <c r="D95" s="1" t="s">
        <v>21</v>
      </c>
      <c r="E95" s="1">
        <v>1158.94</v>
      </c>
      <c r="F95" s="1">
        <v>19</v>
      </c>
      <c r="G95" s="2">
        <v>0.2</v>
      </c>
      <c r="H95" s="3">
        <v>45553</v>
      </c>
      <c r="I95" s="1">
        <v>231.79</v>
      </c>
    </row>
    <row r="96" spans="1:9" ht="28.8" x14ac:dyDescent="0.3">
      <c r="A96" s="1" t="s">
        <v>75</v>
      </c>
      <c r="B96" s="1" t="s">
        <v>47</v>
      </c>
      <c r="C96" s="1" t="s">
        <v>20</v>
      </c>
      <c r="D96" s="1" t="s">
        <v>12</v>
      </c>
      <c r="E96" s="1">
        <v>966.3</v>
      </c>
      <c r="F96" s="1">
        <v>2</v>
      </c>
      <c r="G96" s="2">
        <v>0.15</v>
      </c>
      <c r="H96" s="3">
        <v>45557</v>
      </c>
      <c r="I96" s="1">
        <v>328.54</v>
      </c>
    </row>
    <row r="97" spans="1:9" ht="28.8" x14ac:dyDescent="0.3">
      <c r="A97" s="1" t="s">
        <v>68</v>
      </c>
      <c r="B97" s="1" t="s">
        <v>17</v>
      </c>
      <c r="C97" s="1" t="s">
        <v>20</v>
      </c>
      <c r="D97" s="1" t="s">
        <v>12</v>
      </c>
      <c r="E97" s="1">
        <v>917.48</v>
      </c>
      <c r="F97" s="1">
        <v>6</v>
      </c>
      <c r="G97" s="2">
        <v>0</v>
      </c>
      <c r="H97" s="3">
        <v>45558</v>
      </c>
      <c r="I97" s="1">
        <v>366.99</v>
      </c>
    </row>
    <row r="98" spans="1:9" ht="28.8" x14ac:dyDescent="0.3">
      <c r="A98" s="1" t="s">
        <v>41</v>
      </c>
      <c r="B98" s="1" t="s">
        <v>61</v>
      </c>
      <c r="C98" s="1" t="s">
        <v>11</v>
      </c>
      <c r="D98" s="1" t="s">
        <v>27</v>
      </c>
      <c r="E98" s="1">
        <v>1172.97</v>
      </c>
      <c r="F98" s="1">
        <v>7</v>
      </c>
      <c r="G98" s="2">
        <v>0.15</v>
      </c>
      <c r="H98" s="3">
        <v>45559</v>
      </c>
      <c r="I98" s="1">
        <v>348.96</v>
      </c>
    </row>
    <row r="99" spans="1:9" ht="28.8" x14ac:dyDescent="0.3">
      <c r="A99" s="1" t="s">
        <v>57</v>
      </c>
      <c r="B99" s="1" t="s">
        <v>23</v>
      </c>
      <c r="C99" s="1" t="s">
        <v>24</v>
      </c>
      <c r="D99" s="1" t="s">
        <v>15</v>
      </c>
      <c r="E99" s="1">
        <v>1205.82</v>
      </c>
      <c r="F99" s="1">
        <v>11</v>
      </c>
      <c r="G99" s="2">
        <v>0.1</v>
      </c>
      <c r="H99" s="3">
        <v>45559</v>
      </c>
      <c r="I99" s="1">
        <v>542.62</v>
      </c>
    </row>
    <row r="100" spans="1:9" ht="28.8" x14ac:dyDescent="0.3">
      <c r="A100" s="1" t="s">
        <v>16</v>
      </c>
      <c r="B100" s="1" t="s">
        <v>64</v>
      </c>
      <c r="C100" s="1" t="s">
        <v>11</v>
      </c>
      <c r="D100" s="1" t="s">
        <v>39</v>
      </c>
      <c r="E100" s="1">
        <v>826.93</v>
      </c>
      <c r="F100" s="1">
        <v>10</v>
      </c>
      <c r="G100" s="2">
        <v>0.2</v>
      </c>
      <c r="H100" s="3">
        <v>45564</v>
      </c>
      <c r="I100" s="1">
        <v>297.69</v>
      </c>
    </row>
    <row r="101" spans="1:9" ht="28.8" x14ac:dyDescent="0.3">
      <c r="A101" s="1" t="s">
        <v>67</v>
      </c>
      <c r="B101" s="1" t="s">
        <v>23</v>
      </c>
      <c r="C101" s="1" t="s">
        <v>34</v>
      </c>
      <c r="D101" s="1" t="s">
        <v>15</v>
      </c>
      <c r="E101" s="1">
        <v>902.19</v>
      </c>
      <c r="F101" s="1">
        <v>12</v>
      </c>
      <c r="G101" s="2">
        <v>0</v>
      </c>
      <c r="H101" s="3">
        <v>45564</v>
      </c>
      <c r="I101" s="1">
        <v>451.1</v>
      </c>
    </row>
    <row r="102" spans="1:9" ht="28.8" x14ac:dyDescent="0.3">
      <c r="A102" s="1" t="s">
        <v>74</v>
      </c>
      <c r="B102" s="1" t="s">
        <v>38</v>
      </c>
      <c r="C102" s="1" t="s">
        <v>24</v>
      </c>
      <c r="D102" s="1" t="s">
        <v>12</v>
      </c>
      <c r="E102" s="1">
        <v>585.97</v>
      </c>
      <c r="F102" s="1">
        <v>17</v>
      </c>
      <c r="G102" s="2">
        <v>0.1</v>
      </c>
      <c r="H102" s="3">
        <v>45565</v>
      </c>
      <c r="I102" s="1">
        <v>210.95</v>
      </c>
    </row>
    <row r="103" spans="1:9" ht="28.8" x14ac:dyDescent="0.3">
      <c r="A103" s="1" t="s">
        <v>60</v>
      </c>
      <c r="B103" s="1" t="s">
        <v>26</v>
      </c>
      <c r="C103" s="1" t="s">
        <v>24</v>
      </c>
      <c r="D103" s="1" t="s">
        <v>15</v>
      </c>
      <c r="E103" s="1">
        <v>990.19</v>
      </c>
      <c r="F103" s="1">
        <v>8</v>
      </c>
      <c r="G103" s="2">
        <v>0.1</v>
      </c>
      <c r="H103" s="3">
        <v>45565</v>
      </c>
      <c r="I103" s="1">
        <v>445.59</v>
      </c>
    </row>
    <row r="104" spans="1:9" ht="28.8" x14ac:dyDescent="0.3">
      <c r="A104" s="1" t="s">
        <v>44</v>
      </c>
      <c r="B104" s="1" t="s">
        <v>56</v>
      </c>
      <c r="C104" s="1" t="s">
        <v>34</v>
      </c>
      <c r="D104" s="1" t="s">
        <v>21</v>
      </c>
      <c r="E104" s="1">
        <v>1014.09</v>
      </c>
      <c r="F104" s="1">
        <v>13</v>
      </c>
      <c r="G104" s="2">
        <v>0.2</v>
      </c>
      <c r="H104" s="3">
        <v>45567</v>
      </c>
      <c r="I104" s="1">
        <v>202.82</v>
      </c>
    </row>
    <row r="105" spans="1:9" ht="28.8" x14ac:dyDescent="0.3">
      <c r="A105" s="1" t="s">
        <v>13</v>
      </c>
      <c r="B105" s="1" t="s">
        <v>48</v>
      </c>
      <c r="C105" s="1" t="s">
        <v>24</v>
      </c>
      <c r="D105" s="1" t="s">
        <v>21</v>
      </c>
      <c r="E105" s="1">
        <v>925.29</v>
      </c>
      <c r="F105" s="1">
        <v>17</v>
      </c>
      <c r="G105" s="2">
        <v>0</v>
      </c>
      <c r="H105" s="3">
        <v>45570</v>
      </c>
      <c r="I105" s="1">
        <v>231.32</v>
      </c>
    </row>
    <row r="106" spans="1:9" ht="28.8" x14ac:dyDescent="0.3">
      <c r="A106" s="1" t="s">
        <v>54</v>
      </c>
      <c r="B106" s="1" t="s">
        <v>47</v>
      </c>
      <c r="C106" s="1" t="s">
        <v>18</v>
      </c>
      <c r="D106" s="1" t="s">
        <v>27</v>
      </c>
      <c r="E106" s="1">
        <v>1286.54</v>
      </c>
      <c r="F106" s="1">
        <v>8</v>
      </c>
      <c r="G106" s="2">
        <v>0</v>
      </c>
      <c r="H106" s="3">
        <v>45575</v>
      </c>
      <c r="I106" s="1">
        <v>450.29</v>
      </c>
    </row>
    <row r="107" spans="1:9" ht="28.8" x14ac:dyDescent="0.3">
      <c r="A107" s="1" t="s">
        <v>37</v>
      </c>
      <c r="B107" s="1" t="s">
        <v>64</v>
      </c>
      <c r="C107" s="1" t="s">
        <v>20</v>
      </c>
      <c r="D107" s="1" t="s">
        <v>12</v>
      </c>
      <c r="E107" s="1">
        <v>961.62</v>
      </c>
      <c r="F107" s="1">
        <v>8</v>
      </c>
      <c r="G107" s="2">
        <v>0.2</v>
      </c>
      <c r="H107" s="3">
        <v>45577</v>
      </c>
      <c r="I107" s="1">
        <v>307.72000000000003</v>
      </c>
    </row>
    <row r="108" spans="1:9" ht="28.8" x14ac:dyDescent="0.3">
      <c r="A108" s="1" t="s">
        <v>44</v>
      </c>
      <c r="B108" s="1" t="s">
        <v>23</v>
      </c>
      <c r="C108" s="1" t="s">
        <v>18</v>
      </c>
      <c r="D108" s="1" t="s">
        <v>12</v>
      </c>
      <c r="E108" s="1">
        <v>1081.1400000000001</v>
      </c>
      <c r="F108" s="1">
        <v>19</v>
      </c>
      <c r="G108" s="2">
        <v>0.15</v>
      </c>
      <c r="H108" s="3">
        <v>45577</v>
      </c>
      <c r="I108" s="1">
        <v>367.59</v>
      </c>
    </row>
    <row r="109" spans="1:9" ht="28.8" x14ac:dyDescent="0.3">
      <c r="A109" s="1" t="s">
        <v>58</v>
      </c>
      <c r="B109" s="1" t="s">
        <v>23</v>
      </c>
      <c r="C109" s="1" t="s">
        <v>11</v>
      </c>
      <c r="D109" s="1" t="s">
        <v>15</v>
      </c>
      <c r="E109" s="1">
        <v>1923.66</v>
      </c>
      <c r="F109" s="1">
        <v>9</v>
      </c>
      <c r="G109" s="2">
        <v>0.2</v>
      </c>
      <c r="H109" s="3">
        <v>45580</v>
      </c>
      <c r="I109" s="1">
        <v>769.46</v>
      </c>
    </row>
    <row r="110" spans="1:9" ht="28.8" x14ac:dyDescent="0.3">
      <c r="A110" s="1" t="s">
        <v>54</v>
      </c>
      <c r="B110" s="1" t="s">
        <v>66</v>
      </c>
      <c r="C110" s="1" t="s">
        <v>34</v>
      </c>
      <c r="D110" s="1" t="s">
        <v>15</v>
      </c>
      <c r="E110" s="1">
        <v>728.71</v>
      </c>
      <c r="F110" s="1">
        <v>14</v>
      </c>
      <c r="G110" s="2">
        <v>0.1</v>
      </c>
      <c r="H110" s="3">
        <v>45581</v>
      </c>
      <c r="I110" s="1">
        <v>327.92</v>
      </c>
    </row>
    <row r="111" spans="1:9" ht="28.8" x14ac:dyDescent="0.3">
      <c r="A111" s="1" t="s">
        <v>9</v>
      </c>
      <c r="B111" s="1" t="s">
        <v>33</v>
      </c>
      <c r="C111" s="1" t="s">
        <v>34</v>
      </c>
      <c r="D111" s="1" t="s">
        <v>15</v>
      </c>
      <c r="E111" s="1">
        <v>1301.8900000000001</v>
      </c>
      <c r="F111" s="1">
        <v>7</v>
      </c>
      <c r="G111" s="2">
        <v>0.15</v>
      </c>
      <c r="H111" s="3">
        <v>45581</v>
      </c>
      <c r="I111" s="1">
        <v>553.29999999999995</v>
      </c>
    </row>
    <row r="112" spans="1:9" ht="28.8" x14ac:dyDescent="0.3">
      <c r="A112" s="1" t="s">
        <v>70</v>
      </c>
      <c r="B112" s="1" t="s">
        <v>66</v>
      </c>
      <c r="C112" s="1" t="s">
        <v>18</v>
      </c>
      <c r="D112" s="1" t="s">
        <v>12</v>
      </c>
      <c r="E112" s="1">
        <v>980.18</v>
      </c>
      <c r="F112" s="1">
        <v>16</v>
      </c>
      <c r="G112" s="2">
        <v>0.1</v>
      </c>
      <c r="H112" s="3">
        <v>45582</v>
      </c>
      <c r="I112" s="1">
        <v>352.86</v>
      </c>
    </row>
    <row r="113" spans="1:9" ht="28.8" x14ac:dyDescent="0.3">
      <c r="A113" s="1" t="s">
        <v>74</v>
      </c>
      <c r="B113" s="1" t="s">
        <v>23</v>
      </c>
      <c r="C113" s="1" t="s">
        <v>11</v>
      </c>
      <c r="D113" s="1" t="s">
        <v>15</v>
      </c>
      <c r="E113" s="1">
        <v>697.57</v>
      </c>
      <c r="F113" s="1">
        <v>17</v>
      </c>
      <c r="G113" s="2">
        <v>0.1</v>
      </c>
      <c r="H113" s="3">
        <v>45584</v>
      </c>
      <c r="I113" s="1">
        <v>313.91000000000003</v>
      </c>
    </row>
    <row r="114" spans="1:9" ht="28.8" x14ac:dyDescent="0.3">
      <c r="A114" s="1" t="s">
        <v>46</v>
      </c>
      <c r="B114" s="1" t="s">
        <v>71</v>
      </c>
      <c r="C114" s="1" t="s">
        <v>11</v>
      </c>
      <c r="D114" s="1" t="s">
        <v>27</v>
      </c>
      <c r="E114" s="1">
        <v>1193.6099999999999</v>
      </c>
      <c r="F114" s="1">
        <v>1</v>
      </c>
      <c r="G114" s="2">
        <v>0.15</v>
      </c>
      <c r="H114" s="3">
        <v>45584</v>
      </c>
      <c r="I114" s="1">
        <v>355.1</v>
      </c>
    </row>
    <row r="115" spans="1:9" ht="28.8" x14ac:dyDescent="0.3">
      <c r="A115" s="1" t="s">
        <v>32</v>
      </c>
      <c r="B115" s="1" t="s">
        <v>38</v>
      </c>
      <c r="C115" s="1" t="s">
        <v>20</v>
      </c>
      <c r="D115" s="1" t="s">
        <v>21</v>
      </c>
      <c r="E115" s="1">
        <v>771.02</v>
      </c>
      <c r="F115" s="1">
        <v>1</v>
      </c>
      <c r="G115" s="2">
        <v>0</v>
      </c>
      <c r="H115" s="3">
        <v>45585</v>
      </c>
      <c r="I115" s="1">
        <v>192.76</v>
      </c>
    </row>
    <row r="116" spans="1:9" ht="28.8" x14ac:dyDescent="0.3">
      <c r="A116" s="1" t="s">
        <v>67</v>
      </c>
      <c r="B116" s="1" t="s">
        <v>69</v>
      </c>
      <c r="C116" s="1" t="s">
        <v>24</v>
      </c>
      <c r="D116" s="1" t="s">
        <v>15</v>
      </c>
      <c r="E116" s="1">
        <v>661.09</v>
      </c>
      <c r="F116" s="1">
        <v>1</v>
      </c>
      <c r="G116" s="2">
        <v>0.2</v>
      </c>
      <c r="H116" s="3">
        <v>45593</v>
      </c>
      <c r="I116" s="1">
        <v>264.44</v>
      </c>
    </row>
    <row r="117" spans="1:9" ht="28.8" x14ac:dyDescent="0.3">
      <c r="A117" s="1" t="s">
        <v>13</v>
      </c>
      <c r="B117" s="1" t="s">
        <v>55</v>
      </c>
      <c r="C117" s="1" t="s">
        <v>11</v>
      </c>
      <c r="D117" s="1" t="s">
        <v>21</v>
      </c>
      <c r="E117" s="1">
        <v>688.83</v>
      </c>
      <c r="F117" s="1">
        <v>15</v>
      </c>
      <c r="G117" s="2">
        <v>0</v>
      </c>
      <c r="H117" s="3">
        <v>45595</v>
      </c>
      <c r="I117" s="1">
        <v>172.21</v>
      </c>
    </row>
    <row r="118" spans="1:9" ht="28.8" x14ac:dyDescent="0.3">
      <c r="A118" s="1" t="s">
        <v>73</v>
      </c>
      <c r="B118" s="1" t="s">
        <v>29</v>
      </c>
      <c r="C118" s="1" t="s">
        <v>34</v>
      </c>
      <c r="D118" s="1" t="s">
        <v>12</v>
      </c>
      <c r="E118" s="1">
        <v>1249.0999999999999</v>
      </c>
      <c r="F118" s="1">
        <v>4</v>
      </c>
      <c r="G118" s="2">
        <v>0.05</v>
      </c>
      <c r="H118" s="3">
        <v>45597</v>
      </c>
      <c r="I118" s="1">
        <v>474.66</v>
      </c>
    </row>
    <row r="119" spans="1:9" ht="28.8"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ht="28.8" x14ac:dyDescent="0.3">
      <c r="A121" s="1" t="s">
        <v>30</v>
      </c>
      <c r="B121" s="1" t="s">
        <v>59</v>
      </c>
      <c r="C121" s="1" t="s">
        <v>24</v>
      </c>
      <c r="D121" s="1" t="s">
        <v>27</v>
      </c>
      <c r="E121" s="1">
        <v>957.29</v>
      </c>
      <c r="F121" s="1">
        <v>4</v>
      </c>
      <c r="G121" s="2">
        <v>0.05</v>
      </c>
      <c r="H121" s="3">
        <v>45605</v>
      </c>
      <c r="I121" s="1">
        <v>318.3</v>
      </c>
    </row>
    <row r="122" spans="1:9" ht="28.8" x14ac:dyDescent="0.3">
      <c r="A122" s="1" t="s">
        <v>28</v>
      </c>
      <c r="B122" s="1" t="s">
        <v>45</v>
      </c>
      <c r="C122" s="1" t="s">
        <v>24</v>
      </c>
      <c r="D122" s="1" t="s">
        <v>27</v>
      </c>
      <c r="E122" s="1">
        <v>1077.92</v>
      </c>
      <c r="F122" s="1">
        <v>3</v>
      </c>
      <c r="G122" s="2">
        <v>0.05</v>
      </c>
      <c r="H122" s="3">
        <v>45608</v>
      </c>
      <c r="I122" s="1">
        <v>358.41</v>
      </c>
    </row>
    <row r="123" spans="1:9" ht="28.8" x14ac:dyDescent="0.3">
      <c r="A123" s="1" t="s">
        <v>52</v>
      </c>
      <c r="B123" s="1" t="s">
        <v>50</v>
      </c>
      <c r="C123" s="1" t="s">
        <v>20</v>
      </c>
      <c r="D123" s="1" t="s">
        <v>15</v>
      </c>
      <c r="E123" s="1">
        <v>1163.01</v>
      </c>
      <c r="F123" s="1">
        <v>5</v>
      </c>
      <c r="G123" s="2">
        <v>0</v>
      </c>
      <c r="H123" s="3">
        <v>45611</v>
      </c>
      <c r="I123" s="1">
        <v>581.5</v>
      </c>
    </row>
    <row r="124" spans="1:9" ht="28.8" x14ac:dyDescent="0.3">
      <c r="A124" s="1" t="s">
        <v>54</v>
      </c>
      <c r="B124" s="1" t="s">
        <v>45</v>
      </c>
      <c r="C124" s="1" t="s">
        <v>18</v>
      </c>
      <c r="D124" s="1" t="s">
        <v>39</v>
      </c>
      <c r="E124" s="1">
        <v>1014.56</v>
      </c>
      <c r="F124" s="1">
        <v>10</v>
      </c>
      <c r="G124" s="2">
        <v>0.1</v>
      </c>
      <c r="H124" s="3">
        <v>45612</v>
      </c>
      <c r="I124" s="1">
        <v>410.9</v>
      </c>
    </row>
    <row r="125" spans="1:9" ht="28.8" x14ac:dyDescent="0.3">
      <c r="A125" s="1" t="s">
        <v>9</v>
      </c>
      <c r="B125" s="1" t="s">
        <v>17</v>
      </c>
      <c r="C125" s="1" t="s">
        <v>20</v>
      </c>
      <c r="D125" s="1" t="s">
        <v>21</v>
      </c>
      <c r="E125" s="1">
        <v>718.04</v>
      </c>
      <c r="F125" s="1">
        <v>14</v>
      </c>
      <c r="G125" s="2">
        <v>0</v>
      </c>
      <c r="H125" s="3">
        <v>45613</v>
      </c>
      <c r="I125" s="1">
        <v>179.51</v>
      </c>
    </row>
    <row r="126" spans="1:9" ht="28.8" x14ac:dyDescent="0.3">
      <c r="A126" s="1" t="s">
        <v>72</v>
      </c>
      <c r="B126" s="1" t="s">
        <v>17</v>
      </c>
      <c r="C126" s="1" t="s">
        <v>34</v>
      </c>
      <c r="D126" s="1" t="s">
        <v>15</v>
      </c>
      <c r="E126" s="1">
        <v>1277.8499999999999</v>
      </c>
      <c r="F126" s="1">
        <v>18</v>
      </c>
      <c r="G126" s="2">
        <v>0.2</v>
      </c>
      <c r="H126" s="3">
        <v>45613</v>
      </c>
      <c r="I126" s="1">
        <v>511.14</v>
      </c>
    </row>
    <row r="127" spans="1:9" ht="28.8" x14ac:dyDescent="0.3">
      <c r="A127" s="1" t="s">
        <v>70</v>
      </c>
      <c r="B127" s="1" t="s">
        <v>23</v>
      </c>
      <c r="C127" s="1" t="s">
        <v>24</v>
      </c>
      <c r="D127" s="1" t="s">
        <v>21</v>
      </c>
      <c r="E127" s="1">
        <v>706.73</v>
      </c>
      <c r="F127" s="1">
        <v>1</v>
      </c>
      <c r="G127" s="2">
        <v>0.15</v>
      </c>
      <c r="H127" s="3">
        <v>45613</v>
      </c>
      <c r="I127" s="1">
        <v>150.18</v>
      </c>
    </row>
    <row r="128" spans="1:9" ht="28.8" x14ac:dyDescent="0.3">
      <c r="A128" s="1" t="s">
        <v>65</v>
      </c>
      <c r="B128" s="1" t="s">
        <v>50</v>
      </c>
      <c r="C128" s="1" t="s">
        <v>18</v>
      </c>
      <c r="D128" s="1" t="s">
        <v>21</v>
      </c>
      <c r="E128" s="1">
        <v>1410.59</v>
      </c>
      <c r="F128" s="1">
        <v>15</v>
      </c>
      <c r="G128" s="2">
        <v>0</v>
      </c>
      <c r="H128" s="3">
        <v>45615</v>
      </c>
      <c r="I128" s="1">
        <v>352.65</v>
      </c>
    </row>
    <row r="129" spans="1:9" ht="28.8" x14ac:dyDescent="0.3">
      <c r="A129" s="1" t="s">
        <v>32</v>
      </c>
      <c r="B129" s="1" t="s">
        <v>61</v>
      </c>
      <c r="C129" s="1" t="s">
        <v>20</v>
      </c>
      <c r="D129" s="1" t="s">
        <v>27</v>
      </c>
      <c r="E129" s="1">
        <v>1350.33</v>
      </c>
      <c r="F129" s="1">
        <v>10</v>
      </c>
      <c r="G129" s="2">
        <v>0</v>
      </c>
      <c r="H129" s="3">
        <v>45615</v>
      </c>
      <c r="I129" s="1">
        <v>472.62</v>
      </c>
    </row>
    <row r="130" spans="1:9" ht="28.8" x14ac:dyDescent="0.3">
      <c r="A130" s="1" t="s">
        <v>41</v>
      </c>
      <c r="B130" s="1" t="s">
        <v>45</v>
      </c>
      <c r="C130" s="1" t="s">
        <v>18</v>
      </c>
      <c r="D130" s="1" t="s">
        <v>21</v>
      </c>
      <c r="E130" s="1">
        <v>919.18</v>
      </c>
      <c r="F130" s="1">
        <v>4</v>
      </c>
      <c r="G130" s="2">
        <v>0.15</v>
      </c>
      <c r="H130" s="3">
        <v>45615</v>
      </c>
      <c r="I130" s="1">
        <v>195.33</v>
      </c>
    </row>
    <row r="131" spans="1:9" ht="28.8" x14ac:dyDescent="0.3">
      <c r="A131" s="1" t="s">
        <v>74</v>
      </c>
      <c r="B131" s="1" t="s">
        <v>23</v>
      </c>
      <c r="C131" s="1" t="s">
        <v>11</v>
      </c>
      <c r="D131" s="1" t="s">
        <v>21</v>
      </c>
      <c r="E131" s="1">
        <v>258.51</v>
      </c>
      <c r="F131" s="1">
        <v>19</v>
      </c>
      <c r="G131" s="2">
        <v>0</v>
      </c>
      <c r="H131" s="3">
        <v>45616</v>
      </c>
      <c r="I131" s="1">
        <v>64.63</v>
      </c>
    </row>
    <row r="132" spans="1:9" ht="28.8" x14ac:dyDescent="0.3">
      <c r="A132" s="1" t="s">
        <v>63</v>
      </c>
      <c r="B132" s="1" t="s">
        <v>61</v>
      </c>
      <c r="C132" s="1" t="s">
        <v>18</v>
      </c>
      <c r="D132" s="1" t="s">
        <v>12</v>
      </c>
      <c r="E132" s="1">
        <v>1213.48</v>
      </c>
      <c r="F132" s="1">
        <v>5</v>
      </c>
      <c r="G132" s="2">
        <v>0.05</v>
      </c>
      <c r="H132" s="3">
        <v>45616</v>
      </c>
      <c r="I132" s="1">
        <v>461.12</v>
      </c>
    </row>
    <row r="133" spans="1:9" ht="28.8" x14ac:dyDescent="0.3">
      <c r="A133" s="1" t="s">
        <v>57</v>
      </c>
      <c r="B133" s="1" t="s">
        <v>38</v>
      </c>
      <c r="C133" s="1" t="s">
        <v>34</v>
      </c>
      <c r="D133" s="1" t="s">
        <v>12</v>
      </c>
      <c r="E133" s="1">
        <v>1150.28</v>
      </c>
      <c r="F133" s="1">
        <v>8</v>
      </c>
      <c r="G133" s="2">
        <v>0.05</v>
      </c>
      <c r="H133" s="3">
        <v>45622</v>
      </c>
      <c r="I133" s="1">
        <v>437.11</v>
      </c>
    </row>
    <row r="134" spans="1:9" ht="28.8" x14ac:dyDescent="0.3">
      <c r="A134" s="1" t="s">
        <v>37</v>
      </c>
      <c r="B134" s="1" t="s">
        <v>71</v>
      </c>
      <c r="C134" s="1" t="s">
        <v>20</v>
      </c>
      <c r="D134" s="1" t="s">
        <v>27</v>
      </c>
      <c r="E134" s="1">
        <v>853.86</v>
      </c>
      <c r="F134" s="1">
        <v>8</v>
      </c>
      <c r="G134" s="2">
        <v>0.1</v>
      </c>
      <c r="H134" s="3">
        <v>45622</v>
      </c>
      <c r="I134" s="1">
        <v>268.97000000000003</v>
      </c>
    </row>
    <row r="135" spans="1:9" ht="28.8" x14ac:dyDescent="0.3">
      <c r="A135" s="1" t="s">
        <v>75</v>
      </c>
      <c r="B135" s="1" t="s">
        <v>45</v>
      </c>
      <c r="C135" s="1" t="s">
        <v>20</v>
      </c>
      <c r="D135" s="1" t="s">
        <v>21</v>
      </c>
      <c r="E135" s="1">
        <v>1061.04</v>
      </c>
      <c r="F135" s="1">
        <v>1</v>
      </c>
      <c r="G135" s="2">
        <v>0</v>
      </c>
      <c r="H135" s="3">
        <v>45624</v>
      </c>
      <c r="I135" s="1">
        <v>265.26</v>
      </c>
    </row>
    <row r="136" spans="1:9" ht="28.8" x14ac:dyDescent="0.3">
      <c r="A136" s="1" t="s">
        <v>28</v>
      </c>
      <c r="B136" s="1" t="s">
        <v>43</v>
      </c>
      <c r="C136" s="1" t="s">
        <v>11</v>
      </c>
      <c r="D136" s="1" t="s">
        <v>21</v>
      </c>
      <c r="E136" s="1">
        <v>894.55</v>
      </c>
      <c r="F136" s="1">
        <v>19</v>
      </c>
      <c r="G136" s="2">
        <v>0.2</v>
      </c>
      <c r="H136" s="3">
        <v>45625</v>
      </c>
      <c r="I136" s="1">
        <v>178.91</v>
      </c>
    </row>
    <row r="137" spans="1:9" ht="28.8" x14ac:dyDescent="0.3">
      <c r="A137" s="1" t="s">
        <v>25</v>
      </c>
      <c r="B137" s="1" t="s">
        <v>38</v>
      </c>
      <c r="C137" s="1" t="s">
        <v>24</v>
      </c>
      <c r="D137" s="1" t="s">
        <v>39</v>
      </c>
      <c r="E137" s="1">
        <v>833.91</v>
      </c>
      <c r="F137" s="1">
        <v>3</v>
      </c>
      <c r="G137" s="2">
        <v>0.05</v>
      </c>
      <c r="H137" s="3">
        <v>45626</v>
      </c>
      <c r="I137" s="1">
        <v>356.5</v>
      </c>
    </row>
    <row r="138" spans="1:9" ht="28.8" x14ac:dyDescent="0.3">
      <c r="A138" s="1" t="s">
        <v>58</v>
      </c>
      <c r="B138" s="1" t="s">
        <v>71</v>
      </c>
      <c r="C138" s="1" t="s">
        <v>11</v>
      </c>
      <c r="D138" s="1" t="s">
        <v>27</v>
      </c>
      <c r="E138" s="1">
        <v>820.19</v>
      </c>
      <c r="F138" s="1">
        <v>4</v>
      </c>
      <c r="G138" s="2">
        <v>0.2</v>
      </c>
      <c r="H138" s="3">
        <v>45630</v>
      </c>
      <c r="I138" s="1">
        <v>229.65</v>
      </c>
    </row>
    <row r="139" spans="1:9" ht="28.8" x14ac:dyDescent="0.3">
      <c r="A139" s="1" t="s">
        <v>58</v>
      </c>
      <c r="B139" s="1" t="s">
        <v>38</v>
      </c>
      <c r="C139" s="1" t="s">
        <v>34</v>
      </c>
      <c r="D139" s="1" t="s">
        <v>21</v>
      </c>
      <c r="E139" s="1">
        <v>511.74</v>
      </c>
      <c r="F139" s="1">
        <v>8</v>
      </c>
      <c r="G139" s="2">
        <v>0.05</v>
      </c>
      <c r="H139" s="3">
        <v>45631</v>
      </c>
      <c r="I139" s="1">
        <v>121.54</v>
      </c>
    </row>
    <row r="140" spans="1:9" ht="28.8" x14ac:dyDescent="0.3">
      <c r="A140" s="1" t="s">
        <v>65</v>
      </c>
      <c r="B140" s="1" t="s">
        <v>61</v>
      </c>
      <c r="C140" s="1" t="s">
        <v>20</v>
      </c>
      <c r="D140" s="1" t="s">
        <v>27</v>
      </c>
      <c r="E140" s="1">
        <v>806.03</v>
      </c>
      <c r="F140" s="1">
        <v>19</v>
      </c>
      <c r="G140" s="2">
        <v>0.05</v>
      </c>
      <c r="H140" s="3">
        <v>45638</v>
      </c>
      <c r="I140" s="1">
        <v>268</v>
      </c>
    </row>
    <row r="141" spans="1:9" ht="28.8" x14ac:dyDescent="0.3">
      <c r="A141" s="1" t="s">
        <v>28</v>
      </c>
      <c r="B141" s="1" t="s">
        <v>26</v>
      </c>
      <c r="C141" s="1" t="s">
        <v>34</v>
      </c>
      <c r="D141" s="1" t="s">
        <v>27</v>
      </c>
      <c r="E141" s="1">
        <v>1432.47</v>
      </c>
      <c r="F141" s="1">
        <v>16</v>
      </c>
      <c r="G141" s="2">
        <v>0.15</v>
      </c>
      <c r="H141" s="3">
        <v>45640</v>
      </c>
      <c r="I141" s="1">
        <v>426.16</v>
      </c>
    </row>
    <row r="142" spans="1:9" ht="28.8" x14ac:dyDescent="0.3">
      <c r="A142" s="1" t="s">
        <v>74</v>
      </c>
      <c r="B142" s="1" t="s">
        <v>29</v>
      </c>
      <c r="C142" s="1" t="s">
        <v>34</v>
      </c>
      <c r="D142" s="1" t="s">
        <v>21</v>
      </c>
      <c r="E142" s="1">
        <v>1488.58</v>
      </c>
      <c r="F142" s="1">
        <v>10</v>
      </c>
      <c r="G142" s="2">
        <v>0.15</v>
      </c>
      <c r="H142" s="3">
        <v>45640</v>
      </c>
      <c r="I142" s="1">
        <v>316.32</v>
      </c>
    </row>
    <row r="143" spans="1:9" ht="28.8" x14ac:dyDescent="0.3">
      <c r="A143" s="1" t="s">
        <v>30</v>
      </c>
      <c r="B143" s="1" t="s">
        <v>66</v>
      </c>
      <c r="C143" s="1" t="s">
        <v>18</v>
      </c>
      <c r="D143" s="1" t="s">
        <v>12</v>
      </c>
      <c r="E143" s="1">
        <v>1231.26</v>
      </c>
      <c r="F143" s="1">
        <v>9</v>
      </c>
      <c r="G143" s="2">
        <v>0</v>
      </c>
      <c r="H143" s="3">
        <v>45646</v>
      </c>
      <c r="I143" s="1">
        <v>492.5</v>
      </c>
    </row>
    <row r="144" spans="1:9" ht="28.8" x14ac:dyDescent="0.3">
      <c r="A144" s="1" t="s">
        <v>30</v>
      </c>
      <c r="B144" s="1" t="s">
        <v>43</v>
      </c>
      <c r="C144" s="1" t="s">
        <v>11</v>
      </c>
      <c r="D144" s="1" t="s">
        <v>21</v>
      </c>
      <c r="E144" s="1">
        <v>1161.67</v>
      </c>
      <c r="F144" s="1">
        <v>19</v>
      </c>
      <c r="G144" s="2">
        <v>0.2</v>
      </c>
      <c r="H144" s="3">
        <v>45647</v>
      </c>
      <c r="I144" s="1">
        <v>232.33</v>
      </c>
    </row>
    <row r="145" spans="1:9" ht="28.8" x14ac:dyDescent="0.3">
      <c r="A145" s="1" t="s">
        <v>49</v>
      </c>
      <c r="B145" s="1" t="s">
        <v>45</v>
      </c>
      <c r="C145" s="1" t="s">
        <v>34</v>
      </c>
      <c r="D145" s="1" t="s">
        <v>39</v>
      </c>
      <c r="E145" s="1">
        <v>388.23</v>
      </c>
      <c r="F145" s="1">
        <v>16</v>
      </c>
      <c r="G145" s="2">
        <v>0.05</v>
      </c>
      <c r="H145" s="3">
        <v>45650</v>
      </c>
      <c r="I145" s="1">
        <v>165.97</v>
      </c>
    </row>
    <row r="146" spans="1:9" ht="28.8" x14ac:dyDescent="0.3">
      <c r="A146" s="1" t="s">
        <v>72</v>
      </c>
      <c r="B146" s="1" t="s">
        <v>31</v>
      </c>
      <c r="C146" s="1" t="s">
        <v>24</v>
      </c>
      <c r="D146" s="1" t="s">
        <v>15</v>
      </c>
      <c r="E146" s="1">
        <v>1589.42</v>
      </c>
      <c r="F146" s="1">
        <v>6</v>
      </c>
      <c r="G146" s="2">
        <v>0.15</v>
      </c>
      <c r="H146" s="3">
        <v>45651</v>
      </c>
      <c r="I146" s="1">
        <v>675.5</v>
      </c>
    </row>
    <row r="147" spans="1:9" ht="28.8" x14ac:dyDescent="0.3">
      <c r="A147" s="1" t="s">
        <v>28</v>
      </c>
      <c r="B147" s="1" t="s">
        <v>71</v>
      </c>
      <c r="C147" s="1" t="s">
        <v>24</v>
      </c>
      <c r="D147" s="1" t="s">
        <v>15</v>
      </c>
      <c r="E147" s="1">
        <v>336.66</v>
      </c>
      <c r="F147" s="1">
        <v>13</v>
      </c>
      <c r="G147" s="2">
        <v>0.2</v>
      </c>
      <c r="H147" s="3">
        <v>45651</v>
      </c>
      <c r="I147" s="1">
        <v>134.66</v>
      </c>
    </row>
    <row r="148" spans="1:9" ht="28.8" x14ac:dyDescent="0.3">
      <c r="A148" s="1" t="s">
        <v>49</v>
      </c>
      <c r="B148" s="1" t="s">
        <v>23</v>
      </c>
      <c r="C148" s="1" t="s">
        <v>11</v>
      </c>
      <c r="D148" s="1" t="s">
        <v>12</v>
      </c>
      <c r="E148" s="1">
        <v>1353.79</v>
      </c>
      <c r="F148" s="1">
        <v>14</v>
      </c>
      <c r="G148" s="2">
        <v>0.1</v>
      </c>
      <c r="H148" s="3">
        <v>45656</v>
      </c>
      <c r="I148" s="1">
        <v>487.36</v>
      </c>
    </row>
    <row r="149" spans="1:9" ht="28.8" x14ac:dyDescent="0.3">
      <c r="A149" s="1" t="s">
        <v>63</v>
      </c>
      <c r="B149" s="1" t="s">
        <v>69</v>
      </c>
      <c r="C149" s="1" t="s">
        <v>34</v>
      </c>
      <c r="D149" s="1" t="s">
        <v>15</v>
      </c>
      <c r="E149" s="1">
        <v>662.61</v>
      </c>
      <c r="F149" s="1">
        <v>11</v>
      </c>
      <c r="G149" s="2">
        <v>0.05</v>
      </c>
      <c r="H149" s="3">
        <v>45658</v>
      </c>
      <c r="I149" s="1">
        <v>314.74</v>
      </c>
    </row>
    <row r="150" spans="1:9" ht="28.8" x14ac:dyDescent="0.3">
      <c r="A150" s="1" t="s">
        <v>52</v>
      </c>
      <c r="B150" s="1" t="s">
        <v>48</v>
      </c>
      <c r="C150" s="1" t="s">
        <v>24</v>
      </c>
      <c r="D150" s="1" t="s">
        <v>39</v>
      </c>
      <c r="E150" s="1">
        <v>309.42</v>
      </c>
      <c r="F150" s="1">
        <v>1</v>
      </c>
      <c r="G150" s="2">
        <v>0.2</v>
      </c>
      <c r="H150" s="3">
        <v>45658</v>
      </c>
      <c r="I150" s="1">
        <v>111.39</v>
      </c>
    </row>
    <row r="151" spans="1:9" ht="28.8" x14ac:dyDescent="0.3">
      <c r="A151" s="1" t="s">
        <v>63</v>
      </c>
      <c r="B151" s="1" t="s">
        <v>29</v>
      </c>
      <c r="C151" s="1" t="s">
        <v>24</v>
      </c>
      <c r="D151" s="1" t="s">
        <v>12</v>
      </c>
      <c r="E151" s="1">
        <v>884.63</v>
      </c>
      <c r="F151" s="1">
        <v>18</v>
      </c>
      <c r="G151" s="2">
        <v>0.1</v>
      </c>
      <c r="H151" s="3">
        <v>45659</v>
      </c>
      <c r="I151" s="1">
        <v>318.47000000000003</v>
      </c>
    </row>
    <row r="152" spans="1:9" ht="28.8" x14ac:dyDescent="0.3">
      <c r="A152" s="1" t="s">
        <v>52</v>
      </c>
      <c r="B152" s="1" t="s">
        <v>23</v>
      </c>
      <c r="C152" s="1" t="s">
        <v>34</v>
      </c>
      <c r="D152" s="1" t="s">
        <v>39</v>
      </c>
      <c r="E152" s="1">
        <v>745.05</v>
      </c>
      <c r="F152" s="1">
        <v>10</v>
      </c>
      <c r="G152" s="2">
        <v>0.1</v>
      </c>
      <c r="H152" s="3">
        <v>45660</v>
      </c>
      <c r="I152" s="1">
        <v>301.75</v>
      </c>
    </row>
    <row r="153" spans="1:9" ht="28.8" x14ac:dyDescent="0.3">
      <c r="A153" s="1" t="s">
        <v>60</v>
      </c>
      <c r="B153" s="1" t="s">
        <v>17</v>
      </c>
      <c r="C153" s="1" t="s">
        <v>20</v>
      </c>
      <c r="D153" s="1" t="s">
        <v>15</v>
      </c>
      <c r="E153" s="1">
        <v>870.23</v>
      </c>
      <c r="F153" s="1">
        <v>5</v>
      </c>
      <c r="G153" s="2">
        <v>0.05</v>
      </c>
      <c r="H153" s="3">
        <v>45660</v>
      </c>
      <c r="I153" s="1">
        <v>413.36</v>
      </c>
    </row>
    <row r="154" spans="1:9" ht="28.8" x14ac:dyDescent="0.3">
      <c r="A154" s="1" t="s">
        <v>35</v>
      </c>
      <c r="B154" s="1" t="s">
        <v>29</v>
      </c>
      <c r="C154" s="1" t="s">
        <v>11</v>
      </c>
      <c r="D154" s="1" t="s">
        <v>27</v>
      </c>
      <c r="E154" s="1">
        <v>862.19</v>
      </c>
      <c r="F154" s="1">
        <v>18</v>
      </c>
      <c r="G154" s="2">
        <v>0.05</v>
      </c>
      <c r="H154" s="3">
        <v>45663</v>
      </c>
      <c r="I154" s="1">
        <v>286.68</v>
      </c>
    </row>
    <row r="155" spans="1:9" ht="28.8" x14ac:dyDescent="0.3">
      <c r="A155" s="1" t="s">
        <v>73</v>
      </c>
      <c r="B155" s="1" t="s">
        <v>59</v>
      </c>
      <c r="C155" s="1" t="s">
        <v>24</v>
      </c>
      <c r="D155" s="1" t="s">
        <v>15</v>
      </c>
      <c r="E155" s="1">
        <v>1171.18</v>
      </c>
      <c r="F155" s="1">
        <v>19</v>
      </c>
      <c r="G155" s="2">
        <v>0.05</v>
      </c>
      <c r="H155" s="3">
        <v>45667</v>
      </c>
      <c r="I155" s="1">
        <v>556.30999999999995</v>
      </c>
    </row>
    <row r="156" spans="1:9" ht="28.8" x14ac:dyDescent="0.3">
      <c r="A156" s="1" t="s">
        <v>58</v>
      </c>
      <c r="B156" s="1" t="s">
        <v>14</v>
      </c>
      <c r="C156" s="1" t="s">
        <v>20</v>
      </c>
      <c r="D156" s="1" t="s">
        <v>27</v>
      </c>
      <c r="E156" s="1">
        <v>1054.56</v>
      </c>
      <c r="F156" s="1">
        <v>11</v>
      </c>
      <c r="G156" s="2">
        <v>0.1</v>
      </c>
      <c r="H156" s="3">
        <v>45669</v>
      </c>
      <c r="I156" s="1">
        <v>332.19</v>
      </c>
    </row>
    <row r="157" spans="1:9" ht="28.8" x14ac:dyDescent="0.3">
      <c r="A157" s="1" t="s">
        <v>58</v>
      </c>
      <c r="B157" s="1" t="s">
        <v>23</v>
      </c>
      <c r="C157" s="1" t="s">
        <v>24</v>
      </c>
      <c r="D157" s="1" t="s">
        <v>21</v>
      </c>
      <c r="E157" s="1">
        <v>1681.21</v>
      </c>
      <c r="F157" s="1">
        <v>5</v>
      </c>
      <c r="G157" s="2">
        <v>0.2</v>
      </c>
      <c r="H157" s="3">
        <v>45670</v>
      </c>
      <c r="I157" s="1">
        <v>336.24</v>
      </c>
    </row>
    <row r="158" spans="1:9" ht="28.8" x14ac:dyDescent="0.3">
      <c r="A158" s="1" t="s">
        <v>58</v>
      </c>
      <c r="B158" s="1" t="s">
        <v>36</v>
      </c>
      <c r="C158" s="1" t="s">
        <v>11</v>
      </c>
      <c r="D158" s="1" t="s">
        <v>15</v>
      </c>
      <c r="E158" s="1">
        <v>379.77</v>
      </c>
      <c r="F158" s="1">
        <v>9</v>
      </c>
      <c r="G158" s="2">
        <v>0.05</v>
      </c>
      <c r="H158" s="3">
        <v>45673</v>
      </c>
      <c r="I158" s="1">
        <v>180.39</v>
      </c>
    </row>
    <row r="159" spans="1:9" ht="28.8" x14ac:dyDescent="0.3">
      <c r="A159" s="1" t="s">
        <v>44</v>
      </c>
      <c r="B159" s="1" t="s">
        <v>45</v>
      </c>
      <c r="C159" s="1" t="s">
        <v>34</v>
      </c>
      <c r="D159" s="1" t="s">
        <v>15</v>
      </c>
      <c r="E159" s="1">
        <v>1076.33</v>
      </c>
      <c r="F159" s="1">
        <v>2</v>
      </c>
      <c r="G159" s="2">
        <v>0.1</v>
      </c>
      <c r="H159" s="3">
        <v>45674</v>
      </c>
      <c r="I159" s="1">
        <v>484.35</v>
      </c>
    </row>
    <row r="160" spans="1:9" ht="28.8" x14ac:dyDescent="0.3">
      <c r="A160" s="1" t="s">
        <v>44</v>
      </c>
      <c r="B160" s="1" t="s">
        <v>31</v>
      </c>
      <c r="C160" s="1" t="s">
        <v>34</v>
      </c>
      <c r="D160" s="1" t="s">
        <v>39</v>
      </c>
      <c r="E160" s="1">
        <v>1250.71</v>
      </c>
      <c r="F160" s="1">
        <v>7</v>
      </c>
      <c r="G160" s="2">
        <v>0</v>
      </c>
      <c r="H160" s="3">
        <v>45674</v>
      </c>
      <c r="I160" s="1">
        <v>562.82000000000005</v>
      </c>
    </row>
    <row r="161" spans="1:9" ht="28.8" x14ac:dyDescent="0.3">
      <c r="A161" s="1" t="s">
        <v>40</v>
      </c>
      <c r="B161" s="1" t="s">
        <v>17</v>
      </c>
      <c r="C161" s="1" t="s">
        <v>20</v>
      </c>
      <c r="D161" s="1" t="s">
        <v>15</v>
      </c>
      <c r="E161" s="1">
        <v>1118.3399999999999</v>
      </c>
      <c r="F161" s="1">
        <v>6</v>
      </c>
      <c r="G161" s="2">
        <v>0.2</v>
      </c>
      <c r="H161" s="3">
        <v>45674</v>
      </c>
      <c r="I161" s="1">
        <v>447.34</v>
      </c>
    </row>
    <row r="162" spans="1:9" ht="28.8"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ht="28.8" x14ac:dyDescent="0.3">
      <c r="A164" s="1" t="s">
        <v>22</v>
      </c>
      <c r="B164" s="1" t="s">
        <v>43</v>
      </c>
      <c r="C164" s="1" t="s">
        <v>11</v>
      </c>
      <c r="D164" s="1" t="s">
        <v>15</v>
      </c>
      <c r="E164" s="1">
        <v>585.16</v>
      </c>
      <c r="F164" s="1">
        <v>17</v>
      </c>
      <c r="G164" s="2">
        <v>0.1</v>
      </c>
      <c r="H164" s="3">
        <v>45684</v>
      </c>
      <c r="I164" s="1">
        <v>263.32</v>
      </c>
    </row>
    <row r="165" spans="1:9" ht="28.8" x14ac:dyDescent="0.3">
      <c r="A165" s="1" t="s">
        <v>22</v>
      </c>
      <c r="B165" s="1" t="s">
        <v>31</v>
      </c>
      <c r="C165" s="1" t="s">
        <v>18</v>
      </c>
      <c r="D165" s="1" t="s">
        <v>15</v>
      </c>
      <c r="E165" s="1">
        <v>1109.98</v>
      </c>
      <c r="F165" s="1">
        <v>5</v>
      </c>
      <c r="G165" s="2">
        <v>0.2</v>
      </c>
      <c r="H165" s="3">
        <v>45690</v>
      </c>
      <c r="I165" s="1">
        <v>443.99</v>
      </c>
    </row>
    <row r="166" spans="1:9" ht="28.8" x14ac:dyDescent="0.3">
      <c r="A166" s="1" t="s">
        <v>58</v>
      </c>
      <c r="B166" s="1" t="s">
        <v>45</v>
      </c>
      <c r="C166" s="1" t="s">
        <v>18</v>
      </c>
      <c r="D166" s="1" t="s">
        <v>12</v>
      </c>
      <c r="E166" s="1">
        <v>1098.08</v>
      </c>
      <c r="F166" s="1">
        <v>9</v>
      </c>
      <c r="G166" s="2">
        <v>0.1</v>
      </c>
      <c r="H166" s="3">
        <v>45692</v>
      </c>
      <c r="I166" s="1">
        <v>395.31</v>
      </c>
    </row>
    <row r="167" spans="1:9" ht="28.8" x14ac:dyDescent="0.3">
      <c r="A167" s="1" t="s">
        <v>65</v>
      </c>
      <c r="B167" s="1" t="s">
        <v>48</v>
      </c>
      <c r="C167" s="1" t="s">
        <v>11</v>
      </c>
      <c r="D167" s="1" t="s">
        <v>39</v>
      </c>
      <c r="E167" s="1">
        <v>827.25</v>
      </c>
      <c r="F167" s="1">
        <v>7</v>
      </c>
      <c r="G167" s="2">
        <v>0.1</v>
      </c>
      <c r="H167" s="3">
        <v>45693</v>
      </c>
      <c r="I167" s="1">
        <v>335.04</v>
      </c>
    </row>
    <row r="168" spans="1:9" ht="28.8" x14ac:dyDescent="0.3">
      <c r="A168" s="1" t="s">
        <v>70</v>
      </c>
      <c r="B168" s="1" t="s">
        <v>29</v>
      </c>
      <c r="C168" s="1" t="s">
        <v>34</v>
      </c>
      <c r="D168" s="1" t="s">
        <v>15</v>
      </c>
      <c r="E168" s="1">
        <v>741.88</v>
      </c>
      <c r="F168" s="1">
        <v>16</v>
      </c>
      <c r="G168" s="2">
        <v>0.1</v>
      </c>
      <c r="H168" s="3">
        <v>45695</v>
      </c>
      <c r="I168" s="1">
        <v>333.85</v>
      </c>
    </row>
    <row r="169" spans="1:9" ht="28.8" x14ac:dyDescent="0.3">
      <c r="A169" s="1" t="s">
        <v>72</v>
      </c>
      <c r="B169" s="1" t="s">
        <v>10</v>
      </c>
      <c r="C169" s="1" t="s">
        <v>18</v>
      </c>
      <c r="D169" s="1" t="s">
        <v>39</v>
      </c>
      <c r="E169" s="1">
        <v>1311.26</v>
      </c>
      <c r="F169" s="1">
        <v>6</v>
      </c>
      <c r="G169" s="2">
        <v>0.1</v>
      </c>
      <c r="H169" s="3">
        <v>45698</v>
      </c>
      <c r="I169" s="1">
        <v>531.05999999999995</v>
      </c>
    </row>
    <row r="170" spans="1:9" ht="28.8" x14ac:dyDescent="0.3">
      <c r="A170" s="1" t="s">
        <v>72</v>
      </c>
      <c r="B170" s="1" t="s">
        <v>31</v>
      </c>
      <c r="C170" s="1" t="s">
        <v>20</v>
      </c>
      <c r="D170" s="1" t="s">
        <v>39</v>
      </c>
      <c r="E170" s="1">
        <v>573.32000000000005</v>
      </c>
      <c r="F170" s="1">
        <v>19</v>
      </c>
      <c r="G170" s="2">
        <v>0.1</v>
      </c>
      <c r="H170" s="3">
        <v>45703</v>
      </c>
      <c r="I170" s="1">
        <v>232.19</v>
      </c>
    </row>
    <row r="171" spans="1:9" ht="28.8" x14ac:dyDescent="0.3">
      <c r="A171" s="1" t="s">
        <v>52</v>
      </c>
      <c r="B171" s="1" t="s">
        <v>23</v>
      </c>
      <c r="C171" s="1" t="s">
        <v>11</v>
      </c>
      <c r="D171" s="1" t="s">
        <v>21</v>
      </c>
      <c r="E171" s="1">
        <v>1115.22</v>
      </c>
      <c r="F171" s="1">
        <v>14</v>
      </c>
      <c r="G171" s="2">
        <v>0.2</v>
      </c>
      <c r="H171" s="3">
        <v>45705</v>
      </c>
      <c r="I171" s="1">
        <v>223.04</v>
      </c>
    </row>
    <row r="172" spans="1:9" ht="28.8" x14ac:dyDescent="0.3">
      <c r="A172" s="1" t="s">
        <v>13</v>
      </c>
      <c r="B172" s="1" t="s">
        <v>45</v>
      </c>
      <c r="C172" s="1" t="s">
        <v>24</v>
      </c>
      <c r="D172" s="1" t="s">
        <v>15</v>
      </c>
      <c r="E172" s="1">
        <v>845.84</v>
      </c>
      <c r="F172" s="1">
        <v>4</v>
      </c>
      <c r="G172" s="2">
        <v>0</v>
      </c>
      <c r="H172" s="3">
        <v>45707</v>
      </c>
      <c r="I172" s="1">
        <v>422.92</v>
      </c>
    </row>
    <row r="173" spans="1:9" ht="28.8" x14ac:dyDescent="0.3">
      <c r="A173" s="1" t="s">
        <v>30</v>
      </c>
      <c r="B173" s="1" t="s">
        <v>55</v>
      </c>
      <c r="C173" s="1" t="s">
        <v>11</v>
      </c>
      <c r="D173" s="1" t="s">
        <v>21</v>
      </c>
      <c r="E173" s="1">
        <v>1029.8</v>
      </c>
      <c r="F173" s="1">
        <v>3</v>
      </c>
      <c r="G173" s="2">
        <v>0</v>
      </c>
      <c r="H173" s="3">
        <v>45708</v>
      </c>
      <c r="I173" s="1">
        <v>257.45</v>
      </c>
    </row>
    <row r="174" spans="1:9" ht="28.8" x14ac:dyDescent="0.3">
      <c r="A174" s="1" t="s">
        <v>32</v>
      </c>
      <c r="B174" s="1" t="s">
        <v>31</v>
      </c>
      <c r="C174" s="1" t="s">
        <v>24</v>
      </c>
      <c r="D174" s="1" t="s">
        <v>12</v>
      </c>
      <c r="E174" s="1">
        <v>1189.83</v>
      </c>
      <c r="F174" s="1">
        <v>2</v>
      </c>
      <c r="G174" s="2">
        <v>0.2</v>
      </c>
      <c r="H174" s="3">
        <v>45709</v>
      </c>
      <c r="I174" s="1">
        <v>380.75</v>
      </c>
    </row>
    <row r="175" spans="1:9" ht="28.8" x14ac:dyDescent="0.3">
      <c r="A175" s="1" t="s">
        <v>67</v>
      </c>
      <c r="B175" s="1" t="s">
        <v>43</v>
      </c>
      <c r="C175" s="1" t="s">
        <v>20</v>
      </c>
      <c r="D175" s="1" t="s">
        <v>12</v>
      </c>
      <c r="E175" s="1">
        <v>704.28</v>
      </c>
      <c r="F175" s="1">
        <v>15</v>
      </c>
      <c r="G175" s="2">
        <v>0.2</v>
      </c>
      <c r="H175" s="3">
        <v>45712</v>
      </c>
      <c r="I175" s="1">
        <v>225.37</v>
      </c>
    </row>
    <row r="176" spans="1:9" ht="28.8" x14ac:dyDescent="0.3">
      <c r="A176" s="1" t="s">
        <v>65</v>
      </c>
      <c r="B176" s="1" t="s">
        <v>47</v>
      </c>
      <c r="C176" s="1" t="s">
        <v>34</v>
      </c>
      <c r="D176" s="1" t="s">
        <v>39</v>
      </c>
      <c r="E176" s="1">
        <v>1618.22</v>
      </c>
      <c r="F176" s="1">
        <v>12</v>
      </c>
      <c r="G176" s="2">
        <v>0.2</v>
      </c>
      <c r="H176" s="3">
        <v>45712</v>
      </c>
      <c r="I176" s="1">
        <v>582.55999999999995</v>
      </c>
    </row>
    <row r="177" spans="1:9" ht="28.8" x14ac:dyDescent="0.3">
      <c r="A177" s="1" t="s">
        <v>73</v>
      </c>
      <c r="B177" s="1" t="s">
        <v>53</v>
      </c>
      <c r="C177" s="1" t="s">
        <v>34</v>
      </c>
      <c r="D177" s="1" t="s">
        <v>12</v>
      </c>
      <c r="E177" s="1">
        <v>1014.43</v>
      </c>
      <c r="F177" s="1">
        <v>2</v>
      </c>
      <c r="G177" s="2">
        <v>0.15</v>
      </c>
      <c r="H177" s="3">
        <v>45713</v>
      </c>
      <c r="I177" s="1">
        <v>344.91</v>
      </c>
    </row>
    <row r="178" spans="1:9" ht="28.8" x14ac:dyDescent="0.3">
      <c r="A178" s="1" t="s">
        <v>75</v>
      </c>
      <c r="B178" s="1" t="s">
        <v>31</v>
      </c>
      <c r="C178" s="1" t="s">
        <v>34</v>
      </c>
      <c r="D178" s="1" t="s">
        <v>15</v>
      </c>
      <c r="E178" s="1">
        <v>826.97</v>
      </c>
      <c r="F178" s="1">
        <v>18</v>
      </c>
      <c r="G178" s="2">
        <v>0.2</v>
      </c>
      <c r="H178" s="3">
        <v>45715</v>
      </c>
      <c r="I178" s="1">
        <v>330.79</v>
      </c>
    </row>
    <row r="179" spans="1:9" ht="28.8" x14ac:dyDescent="0.3">
      <c r="A179" s="1" t="s">
        <v>16</v>
      </c>
      <c r="B179" s="1" t="s">
        <v>31</v>
      </c>
      <c r="C179" s="1" t="s">
        <v>34</v>
      </c>
      <c r="D179" s="1" t="s">
        <v>15</v>
      </c>
      <c r="E179" s="1">
        <v>1022.23</v>
      </c>
      <c r="F179" s="1">
        <v>8</v>
      </c>
      <c r="G179" s="2">
        <v>0.1</v>
      </c>
      <c r="H179" s="3">
        <v>45717</v>
      </c>
      <c r="I179" s="1">
        <v>460</v>
      </c>
    </row>
    <row r="180" spans="1:9" ht="28.8" x14ac:dyDescent="0.3">
      <c r="A180" s="1" t="s">
        <v>72</v>
      </c>
      <c r="B180" s="1" t="s">
        <v>29</v>
      </c>
      <c r="C180" s="1" t="s">
        <v>18</v>
      </c>
      <c r="D180" s="1" t="s">
        <v>12</v>
      </c>
      <c r="E180" s="1">
        <v>1099.69</v>
      </c>
      <c r="F180" s="1">
        <v>6</v>
      </c>
      <c r="G180" s="2">
        <v>0</v>
      </c>
      <c r="H180" s="3">
        <v>45718</v>
      </c>
      <c r="I180" s="1">
        <v>439.88</v>
      </c>
    </row>
    <row r="181" spans="1:9" ht="28.8" x14ac:dyDescent="0.3">
      <c r="A181" s="1" t="s">
        <v>52</v>
      </c>
      <c r="B181" s="1" t="s">
        <v>64</v>
      </c>
      <c r="C181" s="1" t="s">
        <v>24</v>
      </c>
      <c r="D181" s="1" t="s">
        <v>12</v>
      </c>
      <c r="E181" s="1">
        <v>710.52</v>
      </c>
      <c r="F181" s="1">
        <v>8</v>
      </c>
      <c r="G181" s="2">
        <v>0.1</v>
      </c>
      <c r="H181" s="3">
        <v>45721</v>
      </c>
      <c r="I181" s="1">
        <v>255.79</v>
      </c>
    </row>
    <row r="182" spans="1:9" ht="28.8" x14ac:dyDescent="0.3">
      <c r="A182" s="1" t="s">
        <v>52</v>
      </c>
      <c r="B182" s="1" t="s">
        <v>59</v>
      </c>
      <c r="C182" s="1" t="s">
        <v>24</v>
      </c>
      <c r="D182" s="1" t="s">
        <v>12</v>
      </c>
      <c r="E182" s="1">
        <v>499.18</v>
      </c>
      <c r="F182" s="1">
        <v>15</v>
      </c>
      <c r="G182" s="2">
        <v>0.2</v>
      </c>
      <c r="H182" s="3">
        <v>45724</v>
      </c>
      <c r="I182" s="1">
        <v>159.74</v>
      </c>
    </row>
    <row r="183" spans="1:9" ht="28.8" x14ac:dyDescent="0.3">
      <c r="A183" s="1" t="s">
        <v>37</v>
      </c>
      <c r="B183" s="1" t="s">
        <v>38</v>
      </c>
      <c r="C183" s="1" t="s">
        <v>20</v>
      </c>
      <c r="D183" s="1" t="s">
        <v>12</v>
      </c>
      <c r="E183" s="1">
        <v>1064.19</v>
      </c>
      <c r="F183" s="1">
        <v>18</v>
      </c>
      <c r="G183" s="2">
        <v>0.05</v>
      </c>
      <c r="H183" s="3">
        <v>45725</v>
      </c>
      <c r="I183" s="1">
        <v>404.39</v>
      </c>
    </row>
    <row r="184" spans="1:9" ht="28.8" x14ac:dyDescent="0.3">
      <c r="A184" s="1" t="s">
        <v>67</v>
      </c>
      <c r="B184" s="1" t="s">
        <v>38</v>
      </c>
      <c r="C184" s="1" t="s">
        <v>18</v>
      </c>
      <c r="D184" s="1" t="s">
        <v>39</v>
      </c>
      <c r="E184" s="1">
        <v>438.76</v>
      </c>
      <c r="F184" s="1">
        <v>18</v>
      </c>
      <c r="G184" s="2">
        <v>0.05</v>
      </c>
      <c r="H184" s="3">
        <v>45726</v>
      </c>
      <c r="I184" s="1">
        <v>187.57</v>
      </c>
    </row>
    <row r="185" spans="1:9" ht="28.8" x14ac:dyDescent="0.3">
      <c r="A185" s="1" t="s">
        <v>41</v>
      </c>
      <c r="B185" s="1" t="s">
        <v>55</v>
      </c>
      <c r="C185" s="1" t="s">
        <v>11</v>
      </c>
      <c r="D185" s="1" t="s">
        <v>15</v>
      </c>
      <c r="E185" s="1">
        <v>864.98</v>
      </c>
      <c r="F185" s="1">
        <v>2</v>
      </c>
      <c r="G185" s="2">
        <v>0.05</v>
      </c>
      <c r="H185" s="3">
        <v>45727</v>
      </c>
      <c r="I185" s="1">
        <v>410.87</v>
      </c>
    </row>
    <row r="186" spans="1:9" ht="28.8" x14ac:dyDescent="0.3">
      <c r="A186" s="1" t="s">
        <v>57</v>
      </c>
      <c r="B186" s="1" t="s">
        <v>55</v>
      </c>
      <c r="C186" s="1" t="s">
        <v>11</v>
      </c>
      <c r="D186" s="1" t="s">
        <v>27</v>
      </c>
      <c r="E186" s="1">
        <v>984.93</v>
      </c>
      <c r="F186" s="1">
        <v>14</v>
      </c>
      <c r="G186" s="2">
        <v>0.2</v>
      </c>
      <c r="H186" s="3">
        <v>45733</v>
      </c>
      <c r="I186" s="1">
        <v>275.77999999999997</v>
      </c>
    </row>
    <row r="187" spans="1:9" ht="28.8" x14ac:dyDescent="0.3">
      <c r="A187" s="1" t="s">
        <v>25</v>
      </c>
      <c r="B187" s="1" t="s">
        <v>55</v>
      </c>
      <c r="C187" s="1" t="s">
        <v>11</v>
      </c>
      <c r="D187" s="1" t="s">
        <v>15</v>
      </c>
      <c r="E187" s="1">
        <v>1493.49</v>
      </c>
      <c r="F187" s="1">
        <v>18</v>
      </c>
      <c r="G187" s="2">
        <v>0</v>
      </c>
      <c r="H187" s="3">
        <v>45734</v>
      </c>
      <c r="I187" s="1">
        <v>746.74</v>
      </c>
    </row>
    <row r="188" spans="1:9" ht="28.8" x14ac:dyDescent="0.3">
      <c r="A188" s="1" t="s">
        <v>32</v>
      </c>
      <c r="B188" s="1" t="s">
        <v>53</v>
      </c>
      <c r="C188" s="1" t="s">
        <v>20</v>
      </c>
      <c r="D188" s="1" t="s">
        <v>15</v>
      </c>
      <c r="E188" s="1">
        <v>689.43</v>
      </c>
      <c r="F188" s="1">
        <v>9</v>
      </c>
      <c r="G188" s="2">
        <v>0.1</v>
      </c>
      <c r="H188" s="3">
        <v>45736</v>
      </c>
      <c r="I188" s="1">
        <v>310.24</v>
      </c>
    </row>
    <row r="189" spans="1:9" ht="28.8" x14ac:dyDescent="0.3">
      <c r="A189" s="1" t="s">
        <v>40</v>
      </c>
      <c r="B189" s="1" t="s">
        <v>59</v>
      </c>
      <c r="C189" s="1" t="s">
        <v>20</v>
      </c>
      <c r="D189" s="1" t="s">
        <v>15</v>
      </c>
      <c r="E189" s="1">
        <v>682.24</v>
      </c>
      <c r="F189" s="1">
        <v>1</v>
      </c>
      <c r="G189" s="2">
        <v>0</v>
      </c>
      <c r="H189" s="3">
        <v>45738</v>
      </c>
      <c r="I189" s="1">
        <v>341.12</v>
      </c>
    </row>
    <row r="190" spans="1:9" ht="28.8" x14ac:dyDescent="0.3">
      <c r="A190" s="1" t="s">
        <v>41</v>
      </c>
      <c r="B190" s="1" t="s">
        <v>26</v>
      </c>
      <c r="C190" s="1" t="s">
        <v>24</v>
      </c>
      <c r="D190" s="1" t="s">
        <v>21</v>
      </c>
      <c r="E190" s="1">
        <v>458.54</v>
      </c>
      <c r="F190" s="1">
        <v>15</v>
      </c>
      <c r="G190" s="2">
        <v>0.2</v>
      </c>
      <c r="H190" s="3">
        <v>45741</v>
      </c>
      <c r="I190" s="1">
        <v>91.71</v>
      </c>
    </row>
    <row r="191" spans="1:9" ht="28.8" x14ac:dyDescent="0.3">
      <c r="A191" s="1" t="s">
        <v>32</v>
      </c>
      <c r="B191" s="1" t="s">
        <v>26</v>
      </c>
      <c r="C191" s="1" t="s">
        <v>20</v>
      </c>
      <c r="D191" s="1" t="s">
        <v>27</v>
      </c>
      <c r="E191" s="1">
        <v>1184.25</v>
      </c>
      <c r="F191" s="1">
        <v>11</v>
      </c>
      <c r="G191" s="2">
        <v>0.2</v>
      </c>
      <c r="H191" s="3">
        <v>45742</v>
      </c>
      <c r="I191" s="1">
        <v>331.59</v>
      </c>
    </row>
    <row r="192" spans="1:9" ht="28.8" x14ac:dyDescent="0.3">
      <c r="A192" s="1" t="s">
        <v>25</v>
      </c>
      <c r="B192" s="1" t="s">
        <v>10</v>
      </c>
      <c r="C192" s="1" t="s">
        <v>20</v>
      </c>
      <c r="D192" s="1" t="s">
        <v>15</v>
      </c>
      <c r="E192" s="1">
        <v>762.14</v>
      </c>
      <c r="F192" s="1">
        <v>9</v>
      </c>
      <c r="G192" s="2">
        <v>0</v>
      </c>
      <c r="H192" s="3">
        <v>45743</v>
      </c>
      <c r="I192" s="1">
        <v>381.07</v>
      </c>
    </row>
    <row r="193" spans="1:9" ht="28.8" x14ac:dyDescent="0.3">
      <c r="A193" s="1" t="s">
        <v>22</v>
      </c>
      <c r="B193" s="1" t="s">
        <v>53</v>
      </c>
      <c r="C193" s="1" t="s">
        <v>24</v>
      </c>
      <c r="D193" s="1" t="s">
        <v>12</v>
      </c>
      <c r="E193" s="1">
        <v>750.71</v>
      </c>
      <c r="F193" s="1">
        <v>10</v>
      </c>
      <c r="G193" s="2">
        <v>0.15</v>
      </c>
      <c r="H193" s="3">
        <v>45743</v>
      </c>
      <c r="I193" s="1">
        <v>255.24</v>
      </c>
    </row>
    <row r="194" spans="1:9" ht="28.8" x14ac:dyDescent="0.3">
      <c r="A194" s="1" t="s">
        <v>75</v>
      </c>
      <c r="B194" s="1" t="s">
        <v>71</v>
      </c>
      <c r="C194" s="1" t="s">
        <v>34</v>
      </c>
      <c r="D194" s="1" t="s">
        <v>15</v>
      </c>
      <c r="E194" s="1">
        <v>1456.94</v>
      </c>
      <c r="F194" s="1">
        <v>14</v>
      </c>
      <c r="G194" s="2">
        <v>0.05</v>
      </c>
      <c r="H194" s="3">
        <v>45745</v>
      </c>
      <c r="I194" s="1">
        <v>692.05</v>
      </c>
    </row>
    <row r="195" spans="1:9" ht="28.8" x14ac:dyDescent="0.3">
      <c r="A195" s="1" t="s">
        <v>44</v>
      </c>
      <c r="B195" s="1" t="s">
        <v>61</v>
      </c>
      <c r="C195" s="1" t="s">
        <v>18</v>
      </c>
      <c r="D195" s="1" t="s">
        <v>27</v>
      </c>
      <c r="E195" s="1">
        <v>1093.3800000000001</v>
      </c>
      <c r="F195" s="1">
        <v>17</v>
      </c>
      <c r="G195" s="2">
        <v>0.1</v>
      </c>
      <c r="H195" s="3">
        <v>45745</v>
      </c>
      <c r="I195" s="1">
        <v>344.41</v>
      </c>
    </row>
    <row r="196" spans="1:9" ht="28.8" x14ac:dyDescent="0.3">
      <c r="A196" s="1" t="s">
        <v>37</v>
      </c>
      <c r="B196" s="1" t="s">
        <v>43</v>
      </c>
      <c r="C196" s="1" t="s">
        <v>11</v>
      </c>
      <c r="D196" s="1" t="s">
        <v>15</v>
      </c>
      <c r="E196" s="1">
        <v>934.27</v>
      </c>
      <c r="F196" s="1">
        <v>8</v>
      </c>
      <c r="G196" s="2">
        <v>0.15</v>
      </c>
      <c r="H196" s="3">
        <v>45746</v>
      </c>
      <c r="I196" s="1">
        <v>397.06</v>
      </c>
    </row>
    <row r="197" spans="1:9" ht="28.8" x14ac:dyDescent="0.3">
      <c r="A197" s="1" t="s">
        <v>70</v>
      </c>
      <c r="B197" s="1" t="s">
        <v>36</v>
      </c>
      <c r="C197" s="1" t="s">
        <v>34</v>
      </c>
      <c r="D197" s="1" t="s">
        <v>15</v>
      </c>
      <c r="E197" s="1">
        <v>1465.35</v>
      </c>
      <c r="F197" s="1">
        <v>8</v>
      </c>
      <c r="G197" s="2">
        <v>0.2</v>
      </c>
      <c r="H197" s="3">
        <v>45746</v>
      </c>
      <c r="I197" s="1">
        <v>586.14</v>
      </c>
    </row>
    <row r="198" spans="1:9" ht="28.8" x14ac:dyDescent="0.3">
      <c r="A198" s="1" t="s">
        <v>52</v>
      </c>
      <c r="B198" s="1" t="s">
        <v>14</v>
      </c>
      <c r="C198" s="1" t="s">
        <v>20</v>
      </c>
      <c r="D198" s="1" t="s">
        <v>39</v>
      </c>
      <c r="E198" s="1">
        <v>740.8</v>
      </c>
      <c r="F198" s="1">
        <v>3</v>
      </c>
      <c r="G198" s="2">
        <v>0</v>
      </c>
      <c r="H198" s="3">
        <v>45749</v>
      </c>
      <c r="I198" s="1">
        <v>333.36</v>
      </c>
    </row>
    <row r="199" spans="1:9" ht="28.8" x14ac:dyDescent="0.3">
      <c r="A199" s="1" t="s">
        <v>58</v>
      </c>
      <c r="B199" s="1" t="s">
        <v>43</v>
      </c>
      <c r="C199" s="1" t="s">
        <v>11</v>
      </c>
      <c r="D199" s="1" t="s">
        <v>39</v>
      </c>
      <c r="E199" s="1">
        <v>545.44000000000005</v>
      </c>
      <c r="F199" s="1">
        <v>17</v>
      </c>
      <c r="G199" s="2">
        <v>0</v>
      </c>
      <c r="H199" s="3">
        <v>45752</v>
      </c>
      <c r="I199" s="1">
        <v>245.45</v>
      </c>
    </row>
    <row r="200" spans="1:9" ht="28.8" x14ac:dyDescent="0.3">
      <c r="A200" s="1" t="s">
        <v>35</v>
      </c>
      <c r="B200" s="1" t="s">
        <v>36</v>
      </c>
      <c r="C200" s="1" t="s">
        <v>18</v>
      </c>
      <c r="D200" s="1" t="s">
        <v>12</v>
      </c>
      <c r="E200" s="1">
        <v>997.61</v>
      </c>
      <c r="F200" s="1">
        <v>8</v>
      </c>
      <c r="G200" s="2">
        <v>0.05</v>
      </c>
      <c r="H200" s="3">
        <v>45752</v>
      </c>
      <c r="I200" s="1">
        <v>379.09</v>
      </c>
    </row>
    <row r="201" spans="1:9" ht="28.8" x14ac:dyDescent="0.3">
      <c r="A201" s="1" t="s">
        <v>60</v>
      </c>
      <c r="B201" s="1" t="s">
        <v>36</v>
      </c>
      <c r="C201" s="1" t="s">
        <v>20</v>
      </c>
      <c r="D201" s="1" t="s">
        <v>15</v>
      </c>
      <c r="E201" s="1">
        <v>928.32</v>
      </c>
      <c r="F201" s="1">
        <v>2</v>
      </c>
      <c r="G201" s="2">
        <v>0.05</v>
      </c>
      <c r="H201" s="3">
        <v>45754</v>
      </c>
      <c r="I201" s="1">
        <v>440.95</v>
      </c>
    </row>
  </sheetData>
  <mergeCells count="1">
    <mergeCell ref="N21:T21"/>
  </mergeCells>
  <conditionalFormatting sqref="B1:B201">
    <cfRule type="top10" dxfId="24" priority="1" rank="10"/>
    <cfRule type="top10" dxfId="23" priority="3" rank="10"/>
    <cfRule type="top10" dxfId="22" priority="5" rank="10"/>
  </conditionalFormatting>
  <conditionalFormatting sqref="B2:B201">
    <cfRule type="top10" dxfId="21" priority="4" rank="10"/>
  </conditionalFormatting>
  <conditionalFormatting sqref="C3:C8">
    <cfRule type="top10" dxfId="20" priority="2" percent="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D221-08F8-450B-89F0-0250F4F07EC9}">
  <dimension ref="A1:R201"/>
  <sheetViews>
    <sheetView topLeftCell="B1" zoomScale="97" zoomScaleNormal="97" workbookViewId="0">
      <selection activeCell="Q4" sqref="Q4"/>
    </sheetView>
  </sheetViews>
  <sheetFormatPr defaultRowHeight="14.4" x14ac:dyDescent="0.3"/>
  <cols>
    <col min="1" max="1" width="16.5546875" bestFit="1" customWidth="1"/>
    <col min="8" max="8" width="13.21875" customWidth="1"/>
    <col min="13" max="13" width="21.33203125" bestFit="1" customWidth="1"/>
    <col min="14" max="14" width="25.109375" customWidth="1"/>
    <col min="17" max="17" width="23.109375" customWidth="1"/>
    <col min="18" max="18" width="20.5546875" customWidth="1"/>
  </cols>
  <sheetData>
    <row r="1" spans="1:18" ht="28.8" x14ac:dyDescent="0.3">
      <c r="A1" s="13" t="s">
        <v>0</v>
      </c>
      <c r="B1" s="13" t="s">
        <v>1</v>
      </c>
      <c r="C1" s="13" t="s">
        <v>2</v>
      </c>
      <c r="D1" s="13" t="s">
        <v>3</v>
      </c>
      <c r="E1" s="13" t="s">
        <v>4</v>
      </c>
      <c r="F1" s="13" t="s">
        <v>5</v>
      </c>
      <c r="G1" s="14" t="s">
        <v>6</v>
      </c>
      <c r="H1" s="15" t="s">
        <v>7</v>
      </c>
      <c r="I1" s="13" t="s">
        <v>8</v>
      </c>
    </row>
    <row r="2" spans="1:18" ht="28.8" x14ac:dyDescent="0.3">
      <c r="A2" s="1" t="s">
        <v>9</v>
      </c>
      <c r="B2" s="1" t="s">
        <v>10</v>
      </c>
      <c r="C2" s="1" t="s">
        <v>11</v>
      </c>
      <c r="D2" s="1" t="s">
        <v>12</v>
      </c>
      <c r="E2" s="1">
        <v>1036.0899999999999</v>
      </c>
      <c r="F2" s="1">
        <v>4</v>
      </c>
      <c r="G2" s="2">
        <v>0.2</v>
      </c>
      <c r="H2" s="3">
        <v>45392</v>
      </c>
      <c r="I2" s="1">
        <v>331.55</v>
      </c>
      <c r="M2" s="28" t="s">
        <v>4</v>
      </c>
      <c r="N2" s="28"/>
      <c r="Q2" s="28" t="s">
        <v>123</v>
      </c>
      <c r="R2" s="28"/>
    </row>
    <row r="3" spans="1:18" ht="28.8" x14ac:dyDescent="0.3">
      <c r="A3" s="1" t="s">
        <v>13</v>
      </c>
      <c r="B3" s="1" t="s">
        <v>14</v>
      </c>
      <c r="C3" s="1" t="s">
        <v>11</v>
      </c>
      <c r="D3" s="1" t="s">
        <v>15</v>
      </c>
      <c r="E3" s="1">
        <v>1101.28</v>
      </c>
      <c r="F3" s="1">
        <v>3</v>
      </c>
      <c r="G3" s="2">
        <v>0.2</v>
      </c>
      <c r="H3" s="3">
        <v>45393</v>
      </c>
      <c r="I3" s="1">
        <v>440.51</v>
      </c>
      <c r="M3" s="8"/>
      <c r="N3" s="8"/>
      <c r="Q3" s="8"/>
      <c r="R3" s="8"/>
    </row>
    <row r="4" spans="1:18" ht="28.8" x14ac:dyDescent="0.3">
      <c r="A4" s="1" t="s">
        <v>16</v>
      </c>
      <c r="B4" s="1" t="s">
        <v>17</v>
      </c>
      <c r="C4" s="1" t="s">
        <v>18</v>
      </c>
      <c r="D4" s="1" t="s">
        <v>12</v>
      </c>
      <c r="E4" s="1">
        <v>713.34</v>
      </c>
      <c r="F4" s="1">
        <v>17</v>
      </c>
      <c r="G4" s="2">
        <v>0</v>
      </c>
      <c r="H4" s="3">
        <v>45396</v>
      </c>
      <c r="I4" s="1">
        <v>285.33999999999997</v>
      </c>
      <c r="M4" s="8" t="s">
        <v>82</v>
      </c>
      <c r="N4" s="8">
        <v>976.08879999999965</v>
      </c>
      <c r="Q4" s="8" t="s">
        <v>82</v>
      </c>
      <c r="R4" s="8">
        <v>341.43505000000005</v>
      </c>
    </row>
    <row r="5" spans="1:18" ht="28.8" x14ac:dyDescent="0.3">
      <c r="A5" s="1" t="s">
        <v>19</v>
      </c>
      <c r="B5" s="1" t="s">
        <v>14</v>
      </c>
      <c r="C5" s="1" t="s">
        <v>20</v>
      </c>
      <c r="D5" s="1" t="s">
        <v>21</v>
      </c>
      <c r="E5" s="1">
        <v>760.93</v>
      </c>
      <c r="F5" s="1">
        <v>4</v>
      </c>
      <c r="G5" s="2">
        <v>0.15</v>
      </c>
      <c r="H5" s="3">
        <v>45396</v>
      </c>
      <c r="I5" s="1">
        <v>161.69999999999999</v>
      </c>
      <c r="M5" s="8" t="s">
        <v>83</v>
      </c>
      <c r="N5" s="8">
        <v>21.161850448978406</v>
      </c>
      <c r="Q5" s="8" t="s">
        <v>83</v>
      </c>
      <c r="R5" s="8">
        <v>9.6001196472332531</v>
      </c>
    </row>
    <row r="6" spans="1:18" ht="28.8" x14ac:dyDescent="0.3">
      <c r="A6" s="1" t="s">
        <v>22</v>
      </c>
      <c r="B6" s="1" t="s">
        <v>23</v>
      </c>
      <c r="C6" s="1" t="s">
        <v>24</v>
      </c>
      <c r="D6" s="1" t="s">
        <v>12</v>
      </c>
      <c r="E6" s="1">
        <v>847</v>
      </c>
      <c r="F6" s="1">
        <v>12</v>
      </c>
      <c r="G6" s="2">
        <v>0.2</v>
      </c>
      <c r="H6" s="3">
        <v>45397</v>
      </c>
      <c r="I6" s="1">
        <v>271.04000000000002</v>
      </c>
      <c r="M6" s="8" t="s">
        <v>84</v>
      </c>
      <c r="N6" s="8">
        <v>976.72</v>
      </c>
      <c r="Q6" s="8" t="s">
        <v>84</v>
      </c>
      <c r="R6" s="8">
        <v>332.255</v>
      </c>
    </row>
    <row r="7" spans="1:18" ht="28.8" x14ac:dyDescent="0.3">
      <c r="A7" s="1" t="s">
        <v>25</v>
      </c>
      <c r="B7" s="1" t="s">
        <v>26</v>
      </c>
      <c r="C7" s="1" t="s">
        <v>24</v>
      </c>
      <c r="D7" s="1" t="s">
        <v>27</v>
      </c>
      <c r="E7" s="1">
        <v>965.64</v>
      </c>
      <c r="F7" s="1">
        <v>8</v>
      </c>
      <c r="G7" s="2">
        <v>0.1</v>
      </c>
      <c r="H7" s="3">
        <v>45398</v>
      </c>
      <c r="I7" s="1">
        <v>304.18</v>
      </c>
      <c r="M7" s="8" t="s">
        <v>85</v>
      </c>
      <c r="N7" s="8" t="e">
        <v>#N/A</v>
      </c>
      <c r="Q7" s="8" t="s">
        <v>85</v>
      </c>
      <c r="R7" s="8" t="e">
        <v>#N/A</v>
      </c>
    </row>
    <row r="8" spans="1:18" ht="28.8" x14ac:dyDescent="0.3">
      <c r="A8" s="1" t="s">
        <v>28</v>
      </c>
      <c r="B8" s="1" t="s">
        <v>29</v>
      </c>
      <c r="C8" s="1" t="s">
        <v>11</v>
      </c>
      <c r="D8" s="1" t="s">
        <v>21</v>
      </c>
      <c r="E8" s="1">
        <v>1317.53</v>
      </c>
      <c r="F8" s="1">
        <v>12</v>
      </c>
      <c r="G8" s="2">
        <v>0.05</v>
      </c>
      <c r="H8" s="3">
        <v>45398</v>
      </c>
      <c r="I8" s="1">
        <v>312.91000000000003</v>
      </c>
      <c r="M8" s="8" t="s">
        <v>86</v>
      </c>
      <c r="N8" s="8">
        <v>299.27375909856431</v>
      </c>
      <c r="Q8" s="8" t="s">
        <v>86</v>
      </c>
      <c r="R8" s="8">
        <v>135.7661940552168</v>
      </c>
    </row>
    <row r="9" spans="1:18" ht="28.8" x14ac:dyDescent="0.3">
      <c r="A9" s="1" t="s">
        <v>30</v>
      </c>
      <c r="B9" s="1" t="s">
        <v>31</v>
      </c>
      <c r="C9" s="1" t="s">
        <v>18</v>
      </c>
      <c r="D9" s="1" t="s">
        <v>27</v>
      </c>
      <c r="E9" s="1">
        <v>1074.47</v>
      </c>
      <c r="F9" s="1">
        <v>6</v>
      </c>
      <c r="G9" s="2">
        <v>0.2</v>
      </c>
      <c r="H9" s="3">
        <v>45401</v>
      </c>
      <c r="I9" s="1">
        <v>300.85000000000002</v>
      </c>
      <c r="M9" s="8" t="s">
        <v>87</v>
      </c>
      <c r="N9" s="8">
        <v>89564.782884985514</v>
      </c>
      <c r="Q9" s="8" t="s">
        <v>87</v>
      </c>
      <c r="R9" s="8">
        <v>18432.459448238787</v>
      </c>
    </row>
    <row r="10" spans="1:18" ht="28.8" x14ac:dyDescent="0.3">
      <c r="A10" s="1" t="s">
        <v>32</v>
      </c>
      <c r="B10" s="1" t="s">
        <v>33</v>
      </c>
      <c r="C10" s="1" t="s">
        <v>34</v>
      </c>
      <c r="D10" s="1" t="s">
        <v>12</v>
      </c>
      <c r="E10" s="1">
        <v>501.54</v>
      </c>
      <c r="F10" s="1">
        <v>11</v>
      </c>
      <c r="G10" s="2">
        <v>0.05</v>
      </c>
      <c r="H10" s="3">
        <v>45401</v>
      </c>
      <c r="I10" s="1">
        <v>190.59</v>
      </c>
      <c r="M10" s="8" t="s">
        <v>88</v>
      </c>
      <c r="N10" s="8">
        <v>-8.8595231919740502E-2</v>
      </c>
      <c r="Q10" s="8" t="s">
        <v>88</v>
      </c>
      <c r="R10" s="8">
        <v>0.26450643813582442</v>
      </c>
    </row>
    <row r="11" spans="1:18" ht="28.8" x14ac:dyDescent="0.3">
      <c r="A11" s="1" t="s">
        <v>35</v>
      </c>
      <c r="B11" s="1" t="s">
        <v>36</v>
      </c>
      <c r="C11" s="1" t="s">
        <v>34</v>
      </c>
      <c r="D11" s="1" t="s">
        <v>15</v>
      </c>
      <c r="E11" s="1">
        <v>737.31</v>
      </c>
      <c r="F11" s="1">
        <v>2</v>
      </c>
      <c r="G11" s="2">
        <v>0.05</v>
      </c>
      <c r="H11" s="3">
        <v>45401</v>
      </c>
      <c r="I11" s="1">
        <v>350.22</v>
      </c>
      <c r="M11" s="8" t="s">
        <v>89</v>
      </c>
      <c r="N11" s="8">
        <v>0.14685796564193557</v>
      </c>
      <c r="Q11" s="8" t="s">
        <v>89</v>
      </c>
      <c r="R11" s="8">
        <v>0.57339636063424715</v>
      </c>
    </row>
    <row r="12" spans="1:18" ht="28.8" x14ac:dyDescent="0.3">
      <c r="A12" s="1" t="s">
        <v>37</v>
      </c>
      <c r="B12" s="1" t="s">
        <v>38</v>
      </c>
      <c r="C12" s="1" t="s">
        <v>11</v>
      </c>
      <c r="D12" s="1" t="s">
        <v>39</v>
      </c>
      <c r="E12" s="1">
        <v>1572.82</v>
      </c>
      <c r="F12" s="1">
        <v>6</v>
      </c>
      <c r="G12" s="2">
        <v>0.05</v>
      </c>
      <c r="H12" s="3">
        <v>45402</v>
      </c>
      <c r="I12" s="1">
        <v>672.38</v>
      </c>
      <c r="M12" s="8" t="s">
        <v>90</v>
      </c>
      <c r="N12" s="8">
        <v>1665.15</v>
      </c>
      <c r="Q12" s="8" t="s">
        <v>90</v>
      </c>
      <c r="R12" s="8">
        <v>704.83</v>
      </c>
    </row>
    <row r="13" spans="1:18" ht="28.8" x14ac:dyDescent="0.3">
      <c r="A13" s="1" t="s">
        <v>37</v>
      </c>
      <c r="B13" s="1" t="s">
        <v>36</v>
      </c>
      <c r="C13" s="1" t="s">
        <v>34</v>
      </c>
      <c r="D13" s="1" t="s">
        <v>12</v>
      </c>
      <c r="E13" s="1">
        <v>1343.13</v>
      </c>
      <c r="F13" s="1">
        <v>14</v>
      </c>
      <c r="G13" s="2">
        <v>0.15</v>
      </c>
      <c r="H13" s="3">
        <v>45404</v>
      </c>
      <c r="I13" s="1">
        <v>456.66</v>
      </c>
      <c r="M13" s="8" t="s">
        <v>91</v>
      </c>
      <c r="N13" s="8">
        <v>258.51</v>
      </c>
      <c r="Q13" s="8" t="s">
        <v>91</v>
      </c>
      <c r="R13" s="8">
        <v>64.63</v>
      </c>
    </row>
    <row r="14" spans="1:18" ht="28.8" x14ac:dyDescent="0.3">
      <c r="A14" s="1" t="s">
        <v>25</v>
      </c>
      <c r="B14" s="1" t="s">
        <v>26</v>
      </c>
      <c r="C14" s="1" t="s">
        <v>34</v>
      </c>
      <c r="D14" s="1" t="s">
        <v>12</v>
      </c>
      <c r="E14" s="1">
        <v>1191.58</v>
      </c>
      <c r="F14" s="1">
        <v>14</v>
      </c>
      <c r="G14" s="2">
        <v>0.05</v>
      </c>
      <c r="H14" s="3">
        <v>45406</v>
      </c>
      <c r="I14" s="1">
        <v>452.8</v>
      </c>
      <c r="M14" s="8" t="s">
        <v>92</v>
      </c>
      <c r="N14" s="8">
        <v>1923.66</v>
      </c>
      <c r="Q14" s="8" t="s">
        <v>92</v>
      </c>
      <c r="R14" s="8">
        <v>769.46</v>
      </c>
    </row>
    <row r="15" spans="1:18" ht="28.8" x14ac:dyDescent="0.3">
      <c r="A15" s="1" t="s">
        <v>40</v>
      </c>
      <c r="B15" s="1" t="s">
        <v>14</v>
      </c>
      <c r="C15" s="1" t="s">
        <v>11</v>
      </c>
      <c r="D15" s="1" t="s">
        <v>27</v>
      </c>
      <c r="E15" s="1">
        <v>822.28</v>
      </c>
      <c r="F15" s="1">
        <v>7</v>
      </c>
      <c r="G15" s="2">
        <v>0.05</v>
      </c>
      <c r="H15" s="3">
        <v>45406</v>
      </c>
      <c r="I15" s="1">
        <v>273.41000000000003</v>
      </c>
      <c r="M15" s="8" t="s">
        <v>93</v>
      </c>
      <c r="N15" s="8">
        <v>195217.75999999992</v>
      </c>
      <c r="Q15" s="8" t="s">
        <v>93</v>
      </c>
      <c r="R15" s="8">
        <v>68287.010000000009</v>
      </c>
    </row>
    <row r="16" spans="1:18" ht="28.8" x14ac:dyDescent="0.3">
      <c r="A16" s="1" t="s">
        <v>41</v>
      </c>
      <c r="B16" s="1" t="s">
        <v>42</v>
      </c>
      <c r="C16" s="1" t="s">
        <v>24</v>
      </c>
      <c r="D16" s="1" t="s">
        <v>27</v>
      </c>
      <c r="E16" s="1">
        <v>521.66999999999996</v>
      </c>
      <c r="F16" s="1">
        <v>15</v>
      </c>
      <c r="G16" s="2">
        <v>0.15</v>
      </c>
      <c r="H16" s="3">
        <v>45409</v>
      </c>
      <c r="I16" s="1">
        <v>155.19999999999999</v>
      </c>
      <c r="M16" s="8" t="s">
        <v>94</v>
      </c>
      <c r="N16" s="8">
        <v>200</v>
      </c>
      <c r="Q16" s="8" t="s">
        <v>94</v>
      </c>
      <c r="R16" s="8">
        <v>200</v>
      </c>
    </row>
    <row r="17" spans="1:18" ht="28.8" x14ac:dyDescent="0.3">
      <c r="A17" s="1" t="s">
        <v>19</v>
      </c>
      <c r="B17" s="1" t="s">
        <v>43</v>
      </c>
      <c r="C17" s="1" t="s">
        <v>20</v>
      </c>
      <c r="D17" s="1" t="s">
        <v>21</v>
      </c>
      <c r="E17" s="1">
        <v>1502.93</v>
      </c>
      <c r="F17" s="1">
        <v>14</v>
      </c>
      <c r="G17" s="2">
        <v>0.2</v>
      </c>
      <c r="H17" s="3">
        <v>45410</v>
      </c>
      <c r="I17" s="1">
        <v>300.58999999999997</v>
      </c>
      <c r="M17" s="8" t="s">
        <v>120</v>
      </c>
      <c r="N17" s="8">
        <v>1923.66</v>
      </c>
      <c r="Q17" s="8" t="s">
        <v>120</v>
      </c>
      <c r="R17" s="8">
        <v>769.46</v>
      </c>
    </row>
    <row r="18" spans="1:18" ht="28.8" x14ac:dyDescent="0.3">
      <c r="A18" s="1" t="s">
        <v>44</v>
      </c>
      <c r="B18" s="1" t="s">
        <v>14</v>
      </c>
      <c r="C18" s="1" t="s">
        <v>20</v>
      </c>
      <c r="D18" s="1" t="s">
        <v>12</v>
      </c>
      <c r="E18" s="1">
        <v>877.58</v>
      </c>
      <c r="F18" s="1">
        <v>10</v>
      </c>
      <c r="G18" s="2">
        <v>0.15</v>
      </c>
      <c r="H18" s="3">
        <v>45411</v>
      </c>
      <c r="I18" s="1">
        <v>298.38</v>
      </c>
      <c r="M18" s="8" t="s">
        <v>121</v>
      </c>
      <c r="N18" s="8">
        <v>258.51</v>
      </c>
      <c r="Q18" s="8" t="s">
        <v>121</v>
      </c>
      <c r="R18" s="8">
        <v>64.63</v>
      </c>
    </row>
    <row r="19" spans="1:18" ht="28.8" x14ac:dyDescent="0.3">
      <c r="A19" s="1" t="s">
        <v>28</v>
      </c>
      <c r="B19" s="1" t="s">
        <v>45</v>
      </c>
      <c r="C19" s="1" t="s">
        <v>11</v>
      </c>
      <c r="D19" s="1" t="s">
        <v>12</v>
      </c>
      <c r="E19" s="1">
        <v>636.70000000000005</v>
      </c>
      <c r="F19" s="1">
        <v>4</v>
      </c>
      <c r="G19" s="2">
        <v>0.2</v>
      </c>
      <c r="H19" s="3">
        <v>45411</v>
      </c>
      <c r="I19" s="1">
        <v>203.74</v>
      </c>
      <c r="M19" s="8" t="s">
        <v>122</v>
      </c>
      <c r="N19" s="8">
        <v>41.730249481339911</v>
      </c>
      <c r="Q19" s="8" t="s">
        <v>122</v>
      </c>
      <c r="R19" s="8">
        <v>18.931018763961465</v>
      </c>
    </row>
    <row r="20" spans="1:18" ht="28.8" x14ac:dyDescent="0.3">
      <c r="A20" s="1" t="s">
        <v>46</v>
      </c>
      <c r="B20" s="1" t="s">
        <v>47</v>
      </c>
      <c r="C20" s="1" t="s">
        <v>11</v>
      </c>
      <c r="D20" s="1" t="s">
        <v>12</v>
      </c>
      <c r="E20" s="1">
        <v>1506.14</v>
      </c>
      <c r="F20" s="1">
        <v>13</v>
      </c>
      <c r="G20" s="2">
        <v>0.2</v>
      </c>
      <c r="H20" s="3">
        <v>45412</v>
      </c>
      <c r="I20" s="1">
        <v>481.96</v>
      </c>
    </row>
    <row r="21" spans="1:18" ht="28.8" x14ac:dyDescent="0.3">
      <c r="A21" s="1" t="s">
        <v>30</v>
      </c>
      <c r="B21" s="1" t="s">
        <v>31</v>
      </c>
      <c r="C21" s="1" t="s">
        <v>34</v>
      </c>
      <c r="D21" s="1" t="s">
        <v>21</v>
      </c>
      <c r="E21" s="1">
        <v>645.02</v>
      </c>
      <c r="F21" s="1">
        <v>4</v>
      </c>
      <c r="G21" s="2">
        <v>0</v>
      </c>
      <c r="H21" s="3">
        <v>45414</v>
      </c>
      <c r="I21" s="1">
        <v>161.26</v>
      </c>
    </row>
    <row r="22" spans="1:18" x14ac:dyDescent="0.3">
      <c r="A22" s="1" t="s">
        <v>25</v>
      </c>
      <c r="B22" s="1" t="s">
        <v>48</v>
      </c>
      <c r="C22" s="1" t="s">
        <v>20</v>
      </c>
      <c r="D22" s="1" t="s">
        <v>15</v>
      </c>
      <c r="E22" s="1">
        <v>953.3</v>
      </c>
      <c r="F22" s="1">
        <v>11</v>
      </c>
      <c r="G22" s="2">
        <v>0</v>
      </c>
      <c r="H22" s="3">
        <v>45415</v>
      </c>
      <c r="I22" s="1">
        <v>476.65</v>
      </c>
    </row>
    <row r="23" spans="1:18" ht="28.8" x14ac:dyDescent="0.3">
      <c r="A23" s="1" t="s">
        <v>49</v>
      </c>
      <c r="B23" s="1" t="s">
        <v>14</v>
      </c>
      <c r="C23" s="1" t="s">
        <v>24</v>
      </c>
      <c r="D23" s="1" t="s">
        <v>21</v>
      </c>
      <c r="E23" s="1">
        <v>388.56</v>
      </c>
      <c r="F23" s="1">
        <v>14</v>
      </c>
      <c r="G23" s="2">
        <v>0.15</v>
      </c>
      <c r="H23" s="3">
        <v>45416</v>
      </c>
      <c r="I23" s="1">
        <v>82.57</v>
      </c>
    </row>
    <row r="24" spans="1:18" ht="28.8" x14ac:dyDescent="0.3">
      <c r="A24" s="1" t="s">
        <v>9</v>
      </c>
      <c r="B24" s="1" t="s">
        <v>31</v>
      </c>
      <c r="C24" s="1" t="s">
        <v>11</v>
      </c>
      <c r="D24" s="1" t="s">
        <v>12</v>
      </c>
      <c r="E24" s="1">
        <v>743.17</v>
      </c>
      <c r="F24" s="1">
        <v>9</v>
      </c>
      <c r="G24" s="2">
        <v>0</v>
      </c>
      <c r="H24" s="3">
        <v>45416</v>
      </c>
      <c r="I24" s="1">
        <v>297.27</v>
      </c>
    </row>
    <row r="25" spans="1:18" ht="28.8" x14ac:dyDescent="0.3">
      <c r="A25" s="1" t="s">
        <v>40</v>
      </c>
      <c r="B25" s="1" t="s">
        <v>31</v>
      </c>
      <c r="C25" s="1" t="s">
        <v>34</v>
      </c>
      <c r="D25" s="1" t="s">
        <v>21</v>
      </c>
      <c r="E25" s="1">
        <v>706.37</v>
      </c>
      <c r="F25" s="1">
        <v>6</v>
      </c>
      <c r="G25" s="2">
        <v>0</v>
      </c>
      <c r="H25" s="3">
        <v>45416</v>
      </c>
      <c r="I25" s="1">
        <v>176.59</v>
      </c>
    </row>
    <row r="26" spans="1:18" ht="28.8" x14ac:dyDescent="0.3">
      <c r="A26" s="1" t="s">
        <v>13</v>
      </c>
      <c r="B26" s="1" t="s">
        <v>31</v>
      </c>
      <c r="C26" s="1" t="s">
        <v>34</v>
      </c>
      <c r="D26" s="1" t="s">
        <v>39</v>
      </c>
      <c r="E26" s="1">
        <v>925.31</v>
      </c>
      <c r="F26" s="1">
        <v>8</v>
      </c>
      <c r="G26" s="2">
        <v>0.1</v>
      </c>
      <c r="H26" s="3">
        <v>45418</v>
      </c>
      <c r="I26" s="1">
        <v>374.75</v>
      </c>
    </row>
    <row r="27" spans="1:18" ht="28.8" x14ac:dyDescent="0.3">
      <c r="A27" s="1" t="s">
        <v>35</v>
      </c>
      <c r="B27" s="1" t="s">
        <v>50</v>
      </c>
      <c r="C27" s="1" t="s">
        <v>20</v>
      </c>
      <c r="D27" s="1" t="s">
        <v>21</v>
      </c>
      <c r="E27" s="1">
        <v>1173.1199999999999</v>
      </c>
      <c r="F27" s="1">
        <v>18</v>
      </c>
      <c r="G27" s="2">
        <v>0</v>
      </c>
      <c r="H27" s="3">
        <v>45418</v>
      </c>
      <c r="I27" s="1">
        <v>293.27999999999997</v>
      </c>
    </row>
    <row r="28" spans="1:18" ht="28.8" x14ac:dyDescent="0.3">
      <c r="A28" s="1" t="s">
        <v>22</v>
      </c>
      <c r="B28" s="1" t="s">
        <v>51</v>
      </c>
      <c r="C28" s="1" t="s">
        <v>24</v>
      </c>
      <c r="D28" s="1" t="s">
        <v>27</v>
      </c>
      <c r="E28" s="1">
        <v>675.54</v>
      </c>
      <c r="F28" s="1">
        <v>17</v>
      </c>
      <c r="G28" s="2">
        <v>0</v>
      </c>
      <c r="H28" s="3">
        <v>45420</v>
      </c>
      <c r="I28" s="1">
        <v>236.44</v>
      </c>
    </row>
    <row r="29" spans="1:18" ht="28.8" x14ac:dyDescent="0.3">
      <c r="A29" s="1" t="s">
        <v>25</v>
      </c>
      <c r="B29" s="1" t="s">
        <v>14</v>
      </c>
      <c r="C29" s="1" t="s">
        <v>34</v>
      </c>
      <c r="D29" s="1" t="s">
        <v>12</v>
      </c>
      <c r="E29" s="1">
        <v>939.09</v>
      </c>
      <c r="F29" s="1">
        <v>2</v>
      </c>
      <c r="G29" s="2">
        <v>0.05</v>
      </c>
      <c r="H29" s="3">
        <v>45422</v>
      </c>
      <c r="I29" s="1">
        <v>356.85</v>
      </c>
    </row>
    <row r="30" spans="1:18" ht="28.8" x14ac:dyDescent="0.3">
      <c r="A30" s="1" t="s">
        <v>52</v>
      </c>
      <c r="B30" s="1" t="s">
        <v>53</v>
      </c>
      <c r="C30" s="1" t="s">
        <v>18</v>
      </c>
      <c r="D30" s="1" t="s">
        <v>39</v>
      </c>
      <c r="E30" s="1">
        <v>983.34</v>
      </c>
      <c r="F30" s="1">
        <v>19</v>
      </c>
      <c r="G30" s="2">
        <v>0.1</v>
      </c>
      <c r="H30" s="3">
        <v>45426</v>
      </c>
      <c r="I30" s="1">
        <v>398.25</v>
      </c>
    </row>
    <row r="31" spans="1:18" ht="28.8" x14ac:dyDescent="0.3">
      <c r="A31" s="1" t="s">
        <v>52</v>
      </c>
      <c r="B31" s="1" t="s">
        <v>23</v>
      </c>
      <c r="C31" s="1" t="s">
        <v>20</v>
      </c>
      <c r="D31" s="1" t="s">
        <v>21</v>
      </c>
      <c r="E31" s="1">
        <v>801.21</v>
      </c>
      <c r="F31" s="1">
        <v>3</v>
      </c>
      <c r="G31" s="2">
        <v>0.2</v>
      </c>
      <c r="H31" s="3">
        <v>45426</v>
      </c>
      <c r="I31" s="1">
        <v>160.24</v>
      </c>
    </row>
    <row r="32" spans="1:18" ht="28.8" x14ac:dyDescent="0.3">
      <c r="A32" s="1" t="s">
        <v>54</v>
      </c>
      <c r="B32" s="1" t="s">
        <v>55</v>
      </c>
      <c r="C32" s="1" t="s">
        <v>24</v>
      </c>
      <c r="D32" s="1" t="s">
        <v>21</v>
      </c>
      <c r="E32" s="1">
        <v>1450.71</v>
      </c>
      <c r="F32" s="1">
        <v>5</v>
      </c>
      <c r="G32" s="2">
        <v>0.1</v>
      </c>
      <c r="H32" s="3">
        <v>45427</v>
      </c>
      <c r="I32" s="1">
        <v>326.41000000000003</v>
      </c>
    </row>
    <row r="33" spans="1:9" ht="28.8" x14ac:dyDescent="0.3">
      <c r="A33" s="1" t="s">
        <v>49</v>
      </c>
      <c r="B33" s="1" t="s">
        <v>56</v>
      </c>
      <c r="C33" s="1" t="s">
        <v>34</v>
      </c>
      <c r="D33" s="1" t="s">
        <v>12</v>
      </c>
      <c r="E33" s="1">
        <v>1023.21</v>
      </c>
      <c r="F33" s="1">
        <v>18</v>
      </c>
      <c r="G33" s="2">
        <v>0.05</v>
      </c>
      <c r="H33" s="3">
        <v>45428</v>
      </c>
      <c r="I33" s="1">
        <v>388.82</v>
      </c>
    </row>
    <row r="34" spans="1:9" ht="28.8" x14ac:dyDescent="0.3">
      <c r="A34" s="1" t="s">
        <v>28</v>
      </c>
      <c r="B34" s="1" t="s">
        <v>47</v>
      </c>
      <c r="C34" s="1" t="s">
        <v>11</v>
      </c>
      <c r="D34" s="1" t="s">
        <v>27</v>
      </c>
      <c r="E34" s="1">
        <v>853.72</v>
      </c>
      <c r="F34" s="1">
        <v>5</v>
      </c>
      <c r="G34" s="2">
        <v>0.15</v>
      </c>
      <c r="H34" s="3">
        <v>45428</v>
      </c>
      <c r="I34" s="1">
        <v>253.98</v>
      </c>
    </row>
    <row r="35" spans="1:9" ht="28.8" x14ac:dyDescent="0.3">
      <c r="A35" s="1" t="s">
        <v>57</v>
      </c>
      <c r="B35" s="1" t="s">
        <v>43</v>
      </c>
      <c r="C35" s="1" t="s">
        <v>20</v>
      </c>
      <c r="D35" s="1" t="s">
        <v>21</v>
      </c>
      <c r="E35" s="1">
        <v>967.89</v>
      </c>
      <c r="F35" s="1">
        <v>10</v>
      </c>
      <c r="G35" s="2">
        <v>0.1</v>
      </c>
      <c r="H35" s="3">
        <v>45429</v>
      </c>
      <c r="I35" s="1">
        <v>217.78</v>
      </c>
    </row>
    <row r="36" spans="1:9" ht="28.8" x14ac:dyDescent="0.3">
      <c r="A36" s="1" t="s">
        <v>58</v>
      </c>
      <c r="B36" s="1" t="s">
        <v>53</v>
      </c>
      <c r="C36" s="1" t="s">
        <v>24</v>
      </c>
      <c r="D36" s="1" t="s">
        <v>39</v>
      </c>
      <c r="E36" s="1">
        <v>1200.9000000000001</v>
      </c>
      <c r="F36" s="1">
        <v>14</v>
      </c>
      <c r="G36" s="2">
        <v>0.05</v>
      </c>
      <c r="H36" s="3">
        <v>45429</v>
      </c>
      <c r="I36" s="1">
        <v>513.38</v>
      </c>
    </row>
    <row r="37" spans="1:9" ht="28.8" x14ac:dyDescent="0.3">
      <c r="A37" s="1" t="s">
        <v>13</v>
      </c>
      <c r="B37" s="1" t="s">
        <v>26</v>
      </c>
      <c r="C37" s="1" t="s">
        <v>11</v>
      </c>
      <c r="D37" s="1" t="s">
        <v>12</v>
      </c>
      <c r="E37" s="1">
        <v>472.38</v>
      </c>
      <c r="F37" s="1">
        <v>12</v>
      </c>
      <c r="G37" s="2">
        <v>0.2</v>
      </c>
      <c r="H37" s="3">
        <v>45429</v>
      </c>
      <c r="I37" s="1">
        <v>151.16</v>
      </c>
    </row>
    <row r="38" spans="1:9" ht="28.8"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ht="28.8" x14ac:dyDescent="0.3">
      <c r="A40" s="1" t="s">
        <v>44</v>
      </c>
      <c r="B40" s="1" t="s">
        <v>59</v>
      </c>
      <c r="C40" s="1" t="s">
        <v>34</v>
      </c>
      <c r="D40" s="1" t="s">
        <v>27</v>
      </c>
      <c r="E40" s="1">
        <v>773.09</v>
      </c>
      <c r="F40" s="1">
        <v>13</v>
      </c>
      <c r="G40" s="2">
        <v>0.15</v>
      </c>
      <c r="H40" s="3">
        <v>45434</v>
      </c>
      <c r="I40" s="1">
        <v>229.99</v>
      </c>
    </row>
    <row r="41" spans="1:9" ht="28.8" x14ac:dyDescent="0.3">
      <c r="A41" s="1" t="s">
        <v>60</v>
      </c>
      <c r="B41" s="1" t="s">
        <v>61</v>
      </c>
      <c r="C41" s="1" t="s">
        <v>18</v>
      </c>
      <c r="D41" s="1" t="s">
        <v>12</v>
      </c>
      <c r="E41" s="1">
        <v>580.42999999999995</v>
      </c>
      <c r="F41" s="1">
        <v>19</v>
      </c>
      <c r="G41" s="2">
        <v>0.15</v>
      </c>
      <c r="H41" s="3">
        <v>45435</v>
      </c>
      <c r="I41" s="1">
        <v>197.35</v>
      </c>
    </row>
    <row r="42" spans="1:9" ht="28.8" x14ac:dyDescent="0.3">
      <c r="A42" s="1" t="s">
        <v>19</v>
      </c>
      <c r="B42" s="1" t="s">
        <v>42</v>
      </c>
      <c r="C42" s="1" t="s">
        <v>20</v>
      </c>
      <c r="D42" s="1" t="s">
        <v>12</v>
      </c>
      <c r="E42" s="1">
        <v>1151.21</v>
      </c>
      <c r="F42" s="1">
        <v>15</v>
      </c>
      <c r="G42" s="2">
        <v>0.1</v>
      </c>
      <c r="H42" s="3">
        <v>45445</v>
      </c>
      <c r="I42" s="1">
        <v>414.44</v>
      </c>
    </row>
    <row r="43" spans="1:9" ht="28.8" x14ac:dyDescent="0.3">
      <c r="A43" s="1" t="s">
        <v>52</v>
      </c>
      <c r="B43" s="1" t="s">
        <v>23</v>
      </c>
      <c r="C43" s="1" t="s">
        <v>34</v>
      </c>
      <c r="D43" s="1" t="s">
        <v>39</v>
      </c>
      <c r="E43" s="1">
        <v>1025.98</v>
      </c>
      <c r="F43" s="1">
        <v>5</v>
      </c>
      <c r="G43" s="2">
        <v>0.2</v>
      </c>
      <c r="H43" s="3">
        <v>45447</v>
      </c>
      <c r="I43" s="1">
        <v>369.35</v>
      </c>
    </row>
    <row r="44" spans="1:9" ht="28.8" x14ac:dyDescent="0.3">
      <c r="A44" s="1" t="s">
        <v>40</v>
      </c>
      <c r="B44" s="1" t="s">
        <v>56</v>
      </c>
      <c r="C44" s="1" t="s">
        <v>18</v>
      </c>
      <c r="D44" s="1" t="s">
        <v>39</v>
      </c>
      <c r="E44" s="1">
        <v>556.41999999999996</v>
      </c>
      <c r="F44" s="1">
        <v>11</v>
      </c>
      <c r="G44" s="2">
        <v>0.15</v>
      </c>
      <c r="H44" s="3">
        <v>45447</v>
      </c>
      <c r="I44" s="1">
        <v>212.83</v>
      </c>
    </row>
    <row r="45" spans="1:9" ht="28.8" x14ac:dyDescent="0.3">
      <c r="A45" s="1" t="s">
        <v>57</v>
      </c>
      <c r="B45" s="1" t="s">
        <v>23</v>
      </c>
      <c r="C45" s="1" t="s">
        <v>34</v>
      </c>
      <c r="D45" s="1" t="s">
        <v>12</v>
      </c>
      <c r="E45" s="1">
        <v>840.85</v>
      </c>
      <c r="F45" s="1">
        <v>19</v>
      </c>
      <c r="G45" s="2">
        <v>0.1</v>
      </c>
      <c r="H45" s="3">
        <v>45448</v>
      </c>
      <c r="I45" s="1">
        <v>302.70999999999998</v>
      </c>
    </row>
    <row r="46" spans="1:9" ht="28.8" x14ac:dyDescent="0.3">
      <c r="A46" s="1" t="s">
        <v>30</v>
      </c>
      <c r="B46" s="1" t="s">
        <v>61</v>
      </c>
      <c r="C46" s="1" t="s">
        <v>24</v>
      </c>
      <c r="D46" s="1" t="s">
        <v>27</v>
      </c>
      <c r="E46" s="1">
        <v>1227.25</v>
      </c>
      <c r="F46" s="1">
        <v>12</v>
      </c>
      <c r="G46" s="2">
        <v>0.15</v>
      </c>
      <c r="H46" s="3">
        <v>45448</v>
      </c>
      <c r="I46" s="1">
        <v>365.11</v>
      </c>
    </row>
    <row r="47" spans="1:9" ht="28.8" x14ac:dyDescent="0.3">
      <c r="A47" s="1" t="s">
        <v>16</v>
      </c>
      <c r="B47" s="1" t="s">
        <v>62</v>
      </c>
      <c r="C47" s="1" t="s">
        <v>34</v>
      </c>
      <c r="D47" s="1" t="s">
        <v>21</v>
      </c>
      <c r="E47" s="1">
        <v>856.7</v>
      </c>
      <c r="F47" s="1">
        <v>2</v>
      </c>
      <c r="G47" s="2">
        <v>0</v>
      </c>
      <c r="H47" s="3">
        <v>45449</v>
      </c>
      <c r="I47" s="1">
        <v>214.18</v>
      </c>
    </row>
    <row r="48" spans="1:9" ht="28.8" x14ac:dyDescent="0.3">
      <c r="A48" s="1" t="s">
        <v>54</v>
      </c>
      <c r="B48" s="1" t="s">
        <v>56</v>
      </c>
      <c r="C48" s="1" t="s">
        <v>34</v>
      </c>
      <c r="D48" s="1" t="s">
        <v>39</v>
      </c>
      <c r="E48" s="1">
        <v>1225.42</v>
      </c>
      <c r="F48" s="1">
        <v>8</v>
      </c>
      <c r="G48" s="2">
        <v>0.15</v>
      </c>
      <c r="H48" s="3">
        <v>45449</v>
      </c>
      <c r="I48" s="1">
        <v>468.72</v>
      </c>
    </row>
    <row r="49" spans="1:9" ht="28.8" x14ac:dyDescent="0.3">
      <c r="A49" s="1" t="s">
        <v>63</v>
      </c>
      <c r="B49" s="1" t="s">
        <v>31</v>
      </c>
      <c r="C49" s="1" t="s">
        <v>24</v>
      </c>
      <c r="D49" s="1" t="s">
        <v>39</v>
      </c>
      <c r="E49" s="1">
        <v>1001.57</v>
      </c>
      <c r="F49" s="1">
        <v>12</v>
      </c>
      <c r="G49" s="2">
        <v>0</v>
      </c>
      <c r="H49" s="3">
        <v>45450</v>
      </c>
      <c r="I49" s="1">
        <v>450.71</v>
      </c>
    </row>
    <row r="50" spans="1:9" ht="28.8" x14ac:dyDescent="0.3">
      <c r="A50" s="1" t="s">
        <v>57</v>
      </c>
      <c r="B50" s="1" t="s">
        <v>26</v>
      </c>
      <c r="C50" s="1" t="s">
        <v>18</v>
      </c>
      <c r="D50" s="1" t="s">
        <v>27</v>
      </c>
      <c r="E50" s="1">
        <v>1186.8499999999999</v>
      </c>
      <c r="F50" s="1">
        <v>19</v>
      </c>
      <c r="G50" s="2">
        <v>0.2</v>
      </c>
      <c r="H50" s="3">
        <v>45451</v>
      </c>
      <c r="I50" s="1">
        <v>332.32</v>
      </c>
    </row>
    <row r="51" spans="1:9" ht="28.8" x14ac:dyDescent="0.3">
      <c r="A51" s="1" t="s">
        <v>44</v>
      </c>
      <c r="B51" s="1" t="s">
        <v>51</v>
      </c>
      <c r="C51" s="1" t="s">
        <v>20</v>
      </c>
      <c r="D51" s="1" t="s">
        <v>21</v>
      </c>
      <c r="E51" s="1">
        <v>775.45</v>
      </c>
      <c r="F51" s="1">
        <v>6</v>
      </c>
      <c r="G51" s="2">
        <v>0.1</v>
      </c>
      <c r="H51" s="3">
        <v>45457</v>
      </c>
      <c r="I51" s="1">
        <v>174.48</v>
      </c>
    </row>
    <row r="52" spans="1:9" ht="28.8" x14ac:dyDescent="0.3">
      <c r="A52" s="1" t="s">
        <v>25</v>
      </c>
      <c r="B52" s="1" t="s">
        <v>33</v>
      </c>
      <c r="C52" s="1" t="s">
        <v>20</v>
      </c>
      <c r="D52" s="1" t="s">
        <v>21</v>
      </c>
      <c r="E52" s="1">
        <v>1021.47</v>
      </c>
      <c r="F52" s="1">
        <v>6</v>
      </c>
      <c r="G52" s="2">
        <v>0.05</v>
      </c>
      <c r="H52" s="3">
        <v>45461</v>
      </c>
      <c r="I52" s="1">
        <v>242.6</v>
      </c>
    </row>
    <row r="53" spans="1:9" ht="28.8" x14ac:dyDescent="0.3">
      <c r="A53" s="1" t="s">
        <v>58</v>
      </c>
      <c r="B53" s="1" t="s">
        <v>23</v>
      </c>
      <c r="C53" s="1" t="s">
        <v>20</v>
      </c>
      <c r="D53" s="1" t="s">
        <v>15</v>
      </c>
      <c r="E53" s="1">
        <v>1226.6199999999999</v>
      </c>
      <c r="F53" s="1">
        <v>7</v>
      </c>
      <c r="G53" s="2">
        <v>0.1</v>
      </c>
      <c r="H53" s="3">
        <v>45463</v>
      </c>
      <c r="I53" s="1">
        <v>551.98</v>
      </c>
    </row>
    <row r="54" spans="1:9" ht="28.8"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ht="28.8" x14ac:dyDescent="0.3">
      <c r="A56" s="1" t="s">
        <v>32</v>
      </c>
      <c r="B56" s="1" t="s">
        <v>38</v>
      </c>
      <c r="C56" s="1" t="s">
        <v>24</v>
      </c>
      <c r="D56" s="1" t="s">
        <v>21</v>
      </c>
      <c r="E56" s="1">
        <v>818.8</v>
      </c>
      <c r="F56" s="1">
        <v>15</v>
      </c>
      <c r="G56" s="2">
        <v>0.15</v>
      </c>
      <c r="H56" s="3">
        <v>45468</v>
      </c>
      <c r="I56" s="1">
        <v>173.99</v>
      </c>
    </row>
    <row r="57" spans="1:9" ht="28.8" x14ac:dyDescent="0.3">
      <c r="A57" s="1" t="s">
        <v>19</v>
      </c>
      <c r="B57" s="1" t="s">
        <v>14</v>
      </c>
      <c r="C57" s="1" t="s">
        <v>20</v>
      </c>
      <c r="D57" s="1" t="s">
        <v>27</v>
      </c>
      <c r="E57" s="1">
        <v>919.04</v>
      </c>
      <c r="F57" s="1">
        <v>10</v>
      </c>
      <c r="G57" s="2">
        <v>0.2</v>
      </c>
      <c r="H57" s="3">
        <v>45468</v>
      </c>
      <c r="I57" s="1">
        <v>257.33</v>
      </c>
    </row>
    <row r="58" spans="1:9" ht="28.8" x14ac:dyDescent="0.3">
      <c r="A58" s="1" t="s">
        <v>22</v>
      </c>
      <c r="B58" s="1" t="s">
        <v>66</v>
      </c>
      <c r="C58" s="1" t="s">
        <v>34</v>
      </c>
      <c r="D58" s="1" t="s">
        <v>12</v>
      </c>
      <c r="E58" s="1">
        <v>973.26</v>
      </c>
      <c r="F58" s="1">
        <v>11</v>
      </c>
      <c r="G58" s="2">
        <v>0</v>
      </c>
      <c r="H58" s="3">
        <v>45470</v>
      </c>
      <c r="I58" s="1">
        <v>389.3</v>
      </c>
    </row>
    <row r="59" spans="1:9" ht="28.8" x14ac:dyDescent="0.3">
      <c r="A59" s="1" t="s">
        <v>41</v>
      </c>
      <c r="B59" s="1" t="s">
        <v>64</v>
      </c>
      <c r="C59" s="1" t="s">
        <v>24</v>
      </c>
      <c r="D59" s="1" t="s">
        <v>21</v>
      </c>
      <c r="E59" s="1">
        <v>741.61</v>
      </c>
      <c r="F59" s="1">
        <v>1</v>
      </c>
      <c r="G59" s="2">
        <v>0.2</v>
      </c>
      <c r="H59" s="3">
        <v>45471</v>
      </c>
      <c r="I59" s="1">
        <v>148.32</v>
      </c>
    </row>
    <row r="60" spans="1:9" ht="28.8" x14ac:dyDescent="0.3">
      <c r="A60" s="1" t="s">
        <v>67</v>
      </c>
      <c r="B60" s="1" t="s">
        <v>38</v>
      </c>
      <c r="C60" s="1" t="s">
        <v>24</v>
      </c>
      <c r="D60" s="1" t="s">
        <v>12</v>
      </c>
      <c r="E60" s="1">
        <v>1248.82</v>
      </c>
      <c r="F60" s="1">
        <v>2</v>
      </c>
      <c r="G60" s="2">
        <v>0.1</v>
      </c>
      <c r="H60" s="3">
        <v>45473</v>
      </c>
      <c r="I60" s="1">
        <v>449.58</v>
      </c>
    </row>
    <row r="61" spans="1:9" ht="28.8" x14ac:dyDescent="0.3">
      <c r="A61" s="1" t="s">
        <v>13</v>
      </c>
      <c r="B61" s="1" t="s">
        <v>59</v>
      </c>
      <c r="C61" s="1" t="s">
        <v>11</v>
      </c>
      <c r="D61" s="1" t="s">
        <v>15</v>
      </c>
      <c r="E61" s="1">
        <v>1360.36</v>
      </c>
      <c r="F61" s="1">
        <v>17</v>
      </c>
      <c r="G61" s="2">
        <v>0</v>
      </c>
      <c r="H61" s="3">
        <v>45473</v>
      </c>
      <c r="I61" s="1">
        <v>680.18</v>
      </c>
    </row>
    <row r="62" spans="1:9" ht="28.8" x14ac:dyDescent="0.3">
      <c r="A62" s="1" t="s">
        <v>57</v>
      </c>
      <c r="B62" s="1" t="s">
        <v>31</v>
      </c>
      <c r="C62" s="1" t="s">
        <v>18</v>
      </c>
      <c r="D62" s="1" t="s">
        <v>12</v>
      </c>
      <c r="E62" s="1">
        <v>1383.3</v>
      </c>
      <c r="F62" s="1">
        <v>8</v>
      </c>
      <c r="G62" s="2">
        <v>0.1</v>
      </c>
      <c r="H62" s="3">
        <v>45478</v>
      </c>
      <c r="I62" s="1">
        <v>497.99</v>
      </c>
    </row>
    <row r="63" spans="1:9" ht="28.8" x14ac:dyDescent="0.3">
      <c r="A63" s="1" t="s">
        <v>35</v>
      </c>
      <c r="B63" s="1" t="s">
        <v>55</v>
      </c>
      <c r="C63" s="1" t="s">
        <v>34</v>
      </c>
      <c r="D63" s="1" t="s">
        <v>39</v>
      </c>
      <c r="E63" s="1">
        <v>488.99</v>
      </c>
      <c r="F63" s="1">
        <v>9</v>
      </c>
      <c r="G63" s="2">
        <v>0</v>
      </c>
      <c r="H63" s="3">
        <v>45479</v>
      </c>
      <c r="I63" s="1">
        <v>220.05</v>
      </c>
    </row>
    <row r="64" spans="1:9" ht="28.8" x14ac:dyDescent="0.3">
      <c r="A64" s="1" t="s">
        <v>30</v>
      </c>
      <c r="B64" s="1" t="s">
        <v>31</v>
      </c>
      <c r="C64" s="1" t="s">
        <v>18</v>
      </c>
      <c r="D64" s="1" t="s">
        <v>27</v>
      </c>
      <c r="E64" s="1">
        <v>933.71</v>
      </c>
      <c r="F64" s="1">
        <v>17</v>
      </c>
      <c r="G64" s="2">
        <v>0.1</v>
      </c>
      <c r="H64" s="3">
        <v>45481</v>
      </c>
      <c r="I64" s="1">
        <v>294.12</v>
      </c>
    </row>
    <row r="65" spans="1:9" ht="28.8" x14ac:dyDescent="0.3">
      <c r="A65" s="1" t="s">
        <v>67</v>
      </c>
      <c r="B65" s="1" t="s">
        <v>10</v>
      </c>
      <c r="C65" s="1" t="s">
        <v>11</v>
      </c>
      <c r="D65" s="1" t="s">
        <v>21</v>
      </c>
      <c r="E65" s="1">
        <v>1005.53</v>
      </c>
      <c r="F65" s="1">
        <v>17</v>
      </c>
      <c r="G65" s="2">
        <v>0.2</v>
      </c>
      <c r="H65" s="3">
        <v>45481</v>
      </c>
      <c r="I65" s="1">
        <v>201.11</v>
      </c>
    </row>
    <row r="66" spans="1:9" ht="28.8" x14ac:dyDescent="0.3">
      <c r="A66" s="1" t="s">
        <v>41</v>
      </c>
      <c r="B66" s="1" t="s">
        <v>61</v>
      </c>
      <c r="C66" s="1" t="s">
        <v>20</v>
      </c>
      <c r="D66" s="1" t="s">
        <v>21</v>
      </c>
      <c r="E66" s="1">
        <v>1100.0999999999999</v>
      </c>
      <c r="F66" s="1">
        <v>5</v>
      </c>
      <c r="G66" s="2">
        <v>0.05</v>
      </c>
      <c r="H66" s="3">
        <v>45482</v>
      </c>
      <c r="I66" s="1">
        <v>261.27</v>
      </c>
    </row>
    <row r="67" spans="1:9" ht="28.8" x14ac:dyDescent="0.3">
      <c r="A67" s="1" t="s">
        <v>67</v>
      </c>
      <c r="B67" s="1" t="s">
        <v>23</v>
      </c>
      <c r="C67" s="1" t="s">
        <v>24</v>
      </c>
      <c r="D67" s="1" t="s">
        <v>27</v>
      </c>
      <c r="E67" s="1">
        <v>1034.7</v>
      </c>
      <c r="F67" s="1">
        <v>15</v>
      </c>
      <c r="G67" s="2">
        <v>0.15</v>
      </c>
      <c r="H67" s="3">
        <v>45487</v>
      </c>
      <c r="I67" s="1">
        <v>307.82</v>
      </c>
    </row>
    <row r="68" spans="1:9" ht="28.8" x14ac:dyDescent="0.3">
      <c r="A68" s="1" t="s">
        <v>65</v>
      </c>
      <c r="B68" s="1" t="s">
        <v>31</v>
      </c>
      <c r="C68" s="1" t="s">
        <v>20</v>
      </c>
      <c r="D68" s="1" t="s">
        <v>12</v>
      </c>
      <c r="E68" s="1">
        <v>876.44</v>
      </c>
      <c r="F68" s="1">
        <v>12</v>
      </c>
      <c r="G68" s="2">
        <v>0.05</v>
      </c>
      <c r="H68" s="3">
        <v>45488</v>
      </c>
      <c r="I68" s="1">
        <v>333.05</v>
      </c>
    </row>
    <row r="69" spans="1:9" ht="28.8" x14ac:dyDescent="0.3">
      <c r="A69" s="1" t="s">
        <v>68</v>
      </c>
      <c r="B69" s="1" t="s">
        <v>55</v>
      </c>
      <c r="C69" s="1" t="s">
        <v>11</v>
      </c>
      <c r="D69" s="1" t="s">
        <v>27</v>
      </c>
      <c r="E69" s="1">
        <v>1371.34</v>
      </c>
      <c r="F69" s="1">
        <v>5</v>
      </c>
      <c r="G69" s="2">
        <v>0.05</v>
      </c>
      <c r="H69" s="3">
        <v>45488</v>
      </c>
      <c r="I69" s="1">
        <v>455.97</v>
      </c>
    </row>
    <row r="70" spans="1:9" ht="28.8" x14ac:dyDescent="0.3">
      <c r="A70" s="1" t="s">
        <v>57</v>
      </c>
      <c r="B70" s="1" t="s">
        <v>47</v>
      </c>
      <c r="C70" s="1" t="s">
        <v>24</v>
      </c>
      <c r="D70" s="1" t="s">
        <v>21</v>
      </c>
      <c r="E70" s="1">
        <v>1020.26</v>
      </c>
      <c r="F70" s="1">
        <v>11</v>
      </c>
      <c r="G70" s="2">
        <v>0.05</v>
      </c>
      <c r="H70" s="3">
        <v>45494</v>
      </c>
      <c r="I70" s="1">
        <v>242.31</v>
      </c>
    </row>
    <row r="71" spans="1:9" ht="28.8" x14ac:dyDescent="0.3">
      <c r="A71" s="1" t="s">
        <v>44</v>
      </c>
      <c r="B71" s="1" t="s">
        <v>10</v>
      </c>
      <c r="C71" s="1" t="s">
        <v>34</v>
      </c>
      <c r="D71" s="1" t="s">
        <v>39</v>
      </c>
      <c r="E71" s="1">
        <v>804.81</v>
      </c>
      <c r="F71" s="1">
        <v>1</v>
      </c>
      <c r="G71" s="2">
        <v>0.05</v>
      </c>
      <c r="H71" s="3">
        <v>45502</v>
      </c>
      <c r="I71" s="1">
        <v>344.06</v>
      </c>
    </row>
    <row r="72" spans="1:9" ht="28.8" x14ac:dyDescent="0.3">
      <c r="A72" s="1" t="s">
        <v>22</v>
      </c>
      <c r="B72" s="1" t="s">
        <v>55</v>
      </c>
      <c r="C72" s="1" t="s">
        <v>34</v>
      </c>
      <c r="D72" s="1" t="s">
        <v>21</v>
      </c>
      <c r="E72" s="1">
        <v>608.66</v>
      </c>
      <c r="F72" s="1">
        <v>1</v>
      </c>
      <c r="G72" s="2">
        <v>0.05</v>
      </c>
      <c r="H72" s="3">
        <v>45503</v>
      </c>
      <c r="I72" s="1">
        <v>144.56</v>
      </c>
    </row>
    <row r="73" spans="1:9" ht="28.8" x14ac:dyDescent="0.3">
      <c r="A73" s="1" t="s">
        <v>68</v>
      </c>
      <c r="B73" s="1" t="s">
        <v>69</v>
      </c>
      <c r="C73" s="1" t="s">
        <v>20</v>
      </c>
      <c r="D73" s="1" t="s">
        <v>39</v>
      </c>
      <c r="E73" s="1">
        <v>981.2</v>
      </c>
      <c r="F73" s="1">
        <v>19</v>
      </c>
      <c r="G73" s="2">
        <v>0</v>
      </c>
      <c r="H73" s="3">
        <v>45504</v>
      </c>
      <c r="I73" s="1">
        <v>441.54</v>
      </c>
    </row>
    <row r="74" spans="1:9" ht="28.8" x14ac:dyDescent="0.3">
      <c r="A74" s="1" t="s">
        <v>70</v>
      </c>
      <c r="B74" s="1" t="s">
        <v>55</v>
      </c>
      <c r="C74" s="1" t="s">
        <v>18</v>
      </c>
      <c r="D74" s="1" t="s">
        <v>21</v>
      </c>
      <c r="E74" s="1">
        <v>539.77</v>
      </c>
      <c r="F74" s="1">
        <v>10</v>
      </c>
      <c r="G74" s="2">
        <v>0.15</v>
      </c>
      <c r="H74" s="3">
        <v>45509</v>
      </c>
      <c r="I74" s="1">
        <v>114.7</v>
      </c>
    </row>
    <row r="75" spans="1:9" ht="28.8" x14ac:dyDescent="0.3">
      <c r="A75" s="1" t="s">
        <v>13</v>
      </c>
      <c r="B75" s="1" t="s">
        <v>71</v>
      </c>
      <c r="C75" s="1" t="s">
        <v>20</v>
      </c>
      <c r="D75" s="1" t="s">
        <v>12</v>
      </c>
      <c r="E75" s="1">
        <v>804.45</v>
      </c>
      <c r="F75" s="1">
        <v>5</v>
      </c>
      <c r="G75" s="2">
        <v>0.2</v>
      </c>
      <c r="H75" s="3">
        <v>45509</v>
      </c>
      <c r="I75" s="1">
        <v>257.42</v>
      </c>
    </row>
    <row r="76" spans="1:9" ht="28.8" x14ac:dyDescent="0.3">
      <c r="A76" s="1" t="s">
        <v>70</v>
      </c>
      <c r="B76" s="1" t="s">
        <v>38</v>
      </c>
      <c r="C76" s="1" t="s">
        <v>11</v>
      </c>
      <c r="D76" s="1" t="s">
        <v>21</v>
      </c>
      <c r="E76" s="1">
        <v>1526.6</v>
      </c>
      <c r="F76" s="1">
        <v>13</v>
      </c>
      <c r="G76" s="2">
        <v>0.2</v>
      </c>
      <c r="H76" s="3">
        <v>45512</v>
      </c>
      <c r="I76" s="1">
        <v>305.32</v>
      </c>
    </row>
    <row r="77" spans="1:9" ht="28.8" x14ac:dyDescent="0.3">
      <c r="A77" s="1" t="s">
        <v>13</v>
      </c>
      <c r="B77" s="1" t="s">
        <v>29</v>
      </c>
      <c r="C77" s="1" t="s">
        <v>11</v>
      </c>
      <c r="D77" s="1" t="s">
        <v>21</v>
      </c>
      <c r="E77" s="1">
        <v>1215.26</v>
      </c>
      <c r="F77" s="1">
        <v>5</v>
      </c>
      <c r="G77" s="2">
        <v>0.15</v>
      </c>
      <c r="H77" s="3">
        <v>45513</v>
      </c>
      <c r="I77" s="1">
        <v>258.24</v>
      </c>
    </row>
    <row r="78" spans="1:9" ht="28.8" x14ac:dyDescent="0.3">
      <c r="A78" s="1" t="s">
        <v>19</v>
      </c>
      <c r="B78" s="1" t="s">
        <v>53</v>
      </c>
      <c r="C78" s="1" t="s">
        <v>34</v>
      </c>
      <c r="D78" s="1" t="s">
        <v>27</v>
      </c>
      <c r="E78" s="1">
        <v>1261.3399999999999</v>
      </c>
      <c r="F78" s="1">
        <v>3</v>
      </c>
      <c r="G78" s="2">
        <v>0</v>
      </c>
      <c r="H78" s="3">
        <v>45519</v>
      </c>
      <c r="I78" s="1">
        <v>441.47</v>
      </c>
    </row>
    <row r="79" spans="1:9" ht="28.8" x14ac:dyDescent="0.3">
      <c r="A79" s="1" t="s">
        <v>72</v>
      </c>
      <c r="B79" s="1" t="s">
        <v>45</v>
      </c>
      <c r="C79" s="1" t="s">
        <v>24</v>
      </c>
      <c r="D79" s="1" t="s">
        <v>27</v>
      </c>
      <c r="E79" s="1">
        <v>518.07000000000005</v>
      </c>
      <c r="F79" s="1">
        <v>7</v>
      </c>
      <c r="G79" s="2">
        <v>0.05</v>
      </c>
      <c r="H79" s="3">
        <v>45522</v>
      </c>
      <c r="I79" s="1">
        <v>172.26</v>
      </c>
    </row>
    <row r="80" spans="1:9" ht="28.8" x14ac:dyDescent="0.3">
      <c r="A80" s="1" t="s">
        <v>30</v>
      </c>
      <c r="B80" s="1" t="s">
        <v>29</v>
      </c>
      <c r="C80" s="1" t="s">
        <v>11</v>
      </c>
      <c r="D80" s="1" t="s">
        <v>39</v>
      </c>
      <c r="E80" s="1">
        <v>1111.3399999999999</v>
      </c>
      <c r="F80" s="1">
        <v>1</v>
      </c>
      <c r="G80" s="2">
        <v>0</v>
      </c>
      <c r="H80" s="3">
        <v>45523</v>
      </c>
      <c r="I80" s="1">
        <v>500.1</v>
      </c>
    </row>
    <row r="81" spans="1:9" ht="28.8" x14ac:dyDescent="0.3">
      <c r="A81" s="1" t="s">
        <v>22</v>
      </c>
      <c r="B81" s="1" t="s">
        <v>31</v>
      </c>
      <c r="C81" s="1" t="s">
        <v>18</v>
      </c>
      <c r="D81" s="1" t="s">
        <v>15</v>
      </c>
      <c r="E81" s="1">
        <v>1291.47</v>
      </c>
      <c r="F81" s="1">
        <v>18</v>
      </c>
      <c r="G81" s="2">
        <v>0.1</v>
      </c>
      <c r="H81" s="3">
        <v>45526</v>
      </c>
      <c r="I81" s="1">
        <v>581.16</v>
      </c>
    </row>
    <row r="82" spans="1:9" ht="28.8" x14ac:dyDescent="0.3">
      <c r="A82" s="1" t="s">
        <v>25</v>
      </c>
      <c r="B82" s="1" t="s">
        <v>55</v>
      </c>
      <c r="C82" s="1" t="s">
        <v>24</v>
      </c>
      <c r="D82" s="1" t="s">
        <v>12</v>
      </c>
      <c r="E82" s="1">
        <v>679.71</v>
      </c>
      <c r="F82" s="1">
        <v>19</v>
      </c>
      <c r="G82" s="2">
        <v>0</v>
      </c>
      <c r="H82" s="3">
        <v>45534</v>
      </c>
      <c r="I82" s="1">
        <v>271.88</v>
      </c>
    </row>
    <row r="83" spans="1:9" ht="28.8" x14ac:dyDescent="0.3">
      <c r="A83" s="1" t="s">
        <v>68</v>
      </c>
      <c r="B83" s="1" t="s">
        <v>33</v>
      </c>
      <c r="C83" s="1" t="s">
        <v>18</v>
      </c>
      <c r="D83" s="1" t="s">
        <v>27</v>
      </c>
      <c r="E83" s="1">
        <v>1143.69</v>
      </c>
      <c r="F83" s="1">
        <v>17</v>
      </c>
      <c r="G83" s="2">
        <v>0</v>
      </c>
      <c r="H83" s="3">
        <v>45534</v>
      </c>
      <c r="I83" s="1">
        <v>400.29</v>
      </c>
    </row>
    <row r="84" spans="1:9" ht="28.8"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ht="28.8" x14ac:dyDescent="0.3">
      <c r="A86" s="1" t="s">
        <v>58</v>
      </c>
      <c r="B86" s="1" t="s">
        <v>36</v>
      </c>
      <c r="C86" s="1" t="s">
        <v>11</v>
      </c>
      <c r="D86" s="1" t="s">
        <v>15</v>
      </c>
      <c r="E86" s="1">
        <v>1168.8900000000001</v>
      </c>
      <c r="F86" s="1">
        <v>4</v>
      </c>
      <c r="G86" s="2">
        <v>0.1</v>
      </c>
      <c r="H86" s="3">
        <v>45544</v>
      </c>
      <c r="I86" s="1">
        <v>526</v>
      </c>
    </row>
    <row r="87" spans="1:9" ht="28.8" x14ac:dyDescent="0.3">
      <c r="A87" s="1" t="s">
        <v>67</v>
      </c>
      <c r="B87" s="1" t="s">
        <v>10</v>
      </c>
      <c r="C87" s="1" t="s">
        <v>20</v>
      </c>
      <c r="D87" s="1" t="s">
        <v>21</v>
      </c>
      <c r="E87" s="1">
        <v>1335.87</v>
      </c>
      <c r="F87" s="1">
        <v>17</v>
      </c>
      <c r="G87" s="2">
        <v>0</v>
      </c>
      <c r="H87" s="3">
        <v>45544</v>
      </c>
      <c r="I87" s="1">
        <v>333.97</v>
      </c>
    </row>
    <row r="88" spans="1:9" ht="28.8" x14ac:dyDescent="0.3">
      <c r="A88" s="1" t="s">
        <v>40</v>
      </c>
      <c r="B88" s="1" t="s">
        <v>55</v>
      </c>
      <c r="C88" s="1" t="s">
        <v>18</v>
      </c>
      <c r="D88" s="1" t="s">
        <v>27</v>
      </c>
      <c r="E88" s="1">
        <v>873.7</v>
      </c>
      <c r="F88" s="1">
        <v>9</v>
      </c>
      <c r="G88" s="2">
        <v>0</v>
      </c>
      <c r="H88" s="3">
        <v>45546</v>
      </c>
      <c r="I88" s="1">
        <v>305.8</v>
      </c>
    </row>
    <row r="89" spans="1:9" ht="28.8" x14ac:dyDescent="0.3">
      <c r="A89" s="1" t="s">
        <v>72</v>
      </c>
      <c r="B89" s="1" t="s">
        <v>64</v>
      </c>
      <c r="C89" s="1" t="s">
        <v>11</v>
      </c>
      <c r="D89" s="1" t="s">
        <v>39</v>
      </c>
      <c r="E89" s="1">
        <v>1443.98</v>
      </c>
      <c r="F89" s="1">
        <v>19</v>
      </c>
      <c r="G89" s="2">
        <v>0</v>
      </c>
      <c r="H89" s="3">
        <v>45547</v>
      </c>
      <c r="I89" s="1">
        <v>649.79</v>
      </c>
    </row>
    <row r="90" spans="1:9" ht="28.8" x14ac:dyDescent="0.3">
      <c r="A90" s="1" t="s">
        <v>40</v>
      </c>
      <c r="B90" s="1" t="s">
        <v>23</v>
      </c>
      <c r="C90" s="1" t="s">
        <v>18</v>
      </c>
      <c r="D90" s="1" t="s">
        <v>39</v>
      </c>
      <c r="E90" s="1">
        <v>1154.33</v>
      </c>
      <c r="F90" s="1">
        <v>11</v>
      </c>
      <c r="G90" s="2">
        <v>0.15</v>
      </c>
      <c r="H90" s="3">
        <v>45549</v>
      </c>
      <c r="I90" s="1">
        <v>441.53</v>
      </c>
    </row>
    <row r="91" spans="1:9" ht="28.8" x14ac:dyDescent="0.3">
      <c r="A91" s="1" t="s">
        <v>49</v>
      </c>
      <c r="B91" s="1" t="s">
        <v>50</v>
      </c>
      <c r="C91" s="1" t="s">
        <v>20</v>
      </c>
      <c r="D91" s="1" t="s">
        <v>12</v>
      </c>
      <c r="E91" s="1">
        <v>1264.49</v>
      </c>
      <c r="F91" s="1">
        <v>16</v>
      </c>
      <c r="G91" s="2">
        <v>0.05</v>
      </c>
      <c r="H91" s="3">
        <v>45549</v>
      </c>
      <c r="I91" s="1">
        <v>480.51</v>
      </c>
    </row>
    <row r="92" spans="1:9" ht="28.8" x14ac:dyDescent="0.3">
      <c r="A92" s="1" t="s">
        <v>25</v>
      </c>
      <c r="B92" s="1" t="s">
        <v>66</v>
      </c>
      <c r="C92" s="1" t="s">
        <v>11</v>
      </c>
      <c r="D92" s="1" t="s">
        <v>27</v>
      </c>
      <c r="E92" s="1">
        <v>1101.55</v>
      </c>
      <c r="F92" s="1">
        <v>4</v>
      </c>
      <c r="G92" s="2">
        <v>0.1</v>
      </c>
      <c r="H92" s="3">
        <v>45551</v>
      </c>
      <c r="I92" s="1">
        <v>346.99</v>
      </c>
    </row>
    <row r="93" spans="1:9" ht="28.8" x14ac:dyDescent="0.3">
      <c r="A93" s="1" t="s">
        <v>73</v>
      </c>
      <c r="B93" s="1" t="s">
        <v>14</v>
      </c>
      <c r="C93" s="1" t="s">
        <v>20</v>
      </c>
      <c r="D93" s="1" t="s">
        <v>27</v>
      </c>
      <c r="E93" s="1">
        <v>727.73</v>
      </c>
      <c r="F93" s="1">
        <v>1</v>
      </c>
      <c r="G93" s="2">
        <v>0.1</v>
      </c>
      <c r="H93" s="3">
        <v>45552</v>
      </c>
      <c r="I93" s="1">
        <v>229.23</v>
      </c>
    </row>
    <row r="94" spans="1:9" ht="28.8" x14ac:dyDescent="0.3">
      <c r="A94" s="1" t="s">
        <v>74</v>
      </c>
      <c r="B94" s="1" t="s">
        <v>38</v>
      </c>
      <c r="C94" s="1" t="s">
        <v>18</v>
      </c>
      <c r="D94" s="1" t="s">
        <v>39</v>
      </c>
      <c r="E94" s="1">
        <v>875.41</v>
      </c>
      <c r="F94" s="1">
        <v>13</v>
      </c>
      <c r="G94" s="2">
        <v>0.15</v>
      </c>
      <c r="H94" s="3">
        <v>45552</v>
      </c>
      <c r="I94" s="1">
        <v>334.84</v>
      </c>
    </row>
    <row r="95" spans="1:9" ht="28.8" x14ac:dyDescent="0.3">
      <c r="A95" s="1" t="s">
        <v>67</v>
      </c>
      <c r="B95" s="1" t="s">
        <v>23</v>
      </c>
      <c r="C95" s="1" t="s">
        <v>11</v>
      </c>
      <c r="D95" s="1" t="s">
        <v>21</v>
      </c>
      <c r="E95" s="1">
        <v>1158.94</v>
      </c>
      <c r="F95" s="1">
        <v>19</v>
      </c>
      <c r="G95" s="2">
        <v>0.2</v>
      </c>
      <c r="H95" s="3">
        <v>45553</v>
      </c>
      <c r="I95" s="1">
        <v>231.79</v>
      </c>
    </row>
    <row r="96" spans="1:9" ht="28.8" x14ac:dyDescent="0.3">
      <c r="A96" s="1" t="s">
        <v>75</v>
      </c>
      <c r="B96" s="1" t="s">
        <v>47</v>
      </c>
      <c r="C96" s="1" t="s">
        <v>20</v>
      </c>
      <c r="D96" s="1" t="s">
        <v>12</v>
      </c>
      <c r="E96" s="1">
        <v>966.3</v>
      </c>
      <c r="F96" s="1">
        <v>2</v>
      </c>
      <c r="G96" s="2">
        <v>0.15</v>
      </c>
      <c r="H96" s="3">
        <v>45557</v>
      </c>
      <c r="I96" s="1">
        <v>328.54</v>
      </c>
    </row>
    <row r="97" spans="1:9" ht="28.8" x14ac:dyDescent="0.3">
      <c r="A97" s="1" t="s">
        <v>68</v>
      </c>
      <c r="B97" s="1" t="s">
        <v>17</v>
      </c>
      <c r="C97" s="1" t="s">
        <v>20</v>
      </c>
      <c r="D97" s="1" t="s">
        <v>12</v>
      </c>
      <c r="E97" s="1">
        <v>917.48</v>
      </c>
      <c r="F97" s="1">
        <v>6</v>
      </c>
      <c r="G97" s="2">
        <v>0</v>
      </c>
      <c r="H97" s="3">
        <v>45558</v>
      </c>
      <c r="I97" s="1">
        <v>366.99</v>
      </c>
    </row>
    <row r="98" spans="1:9" ht="28.8" x14ac:dyDescent="0.3">
      <c r="A98" s="1" t="s">
        <v>41</v>
      </c>
      <c r="B98" s="1" t="s">
        <v>61</v>
      </c>
      <c r="C98" s="1" t="s">
        <v>11</v>
      </c>
      <c r="D98" s="1" t="s">
        <v>27</v>
      </c>
      <c r="E98" s="1">
        <v>1172.97</v>
      </c>
      <c r="F98" s="1">
        <v>7</v>
      </c>
      <c r="G98" s="2">
        <v>0.15</v>
      </c>
      <c r="H98" s="3">
        <v>45559</v>
      </c>
      <c r="I98" s="1">
        <v>348.96</v>
      </c>
    </row>
    <row r="99" spans="1:9" ht="28.8" x14ac:dyDescent="0.3">
      <c r="A99" s="1" t="s">
        <v>57</v>
      </c>
      <c r="B99" s="1" t="s">
        <v>23</v>
      </c>
      <c r="C99" s="1" t="s">
        <v>24</v>
      </c>
      <c r="D99" s="1" t="s">
        <v>15</v>
      </c>
      <c r="E99" s="1">
        <v>1205.82</v>
      </c>
      <c r="F99" s="1">
        <v>11</v>
      </c>
      <c r="G99" s="2">
        <v>0.1</v>
      </c>
      <c r="H99" s="3">
        <v>45559</v>
      </c>
      <c r="I99" s="1">
        <v>542.62</v>
      </c>
    </row>
    <row r="100" spans="1:9" ht="28.8" x14ac:dyDescent="0.3">
      <c r="A100" s="1" t="s">
        <v>16</v>
      </c>
      <c r="B100" s="1" t="s">
        <v>64</v>
      </c>
      <c r="C100" s="1" t="s">
        <v>11</v>
      </c>
      <c r="D100" s="1" t="s">
        <v>39</v>
      </c>
      <c r="E100" s="1">
        <v>826.93</v>
      </c>
      <c r="F100" s="1">
        <v>10</v>
      </c>
      <c r="G100" s="2">
        <v>0.2</v>
      </c>
      <c r="H100" s="3">
        <v>45564</v>
      </c>
      <c r="I100" s="1">
        <v>297.69</v>
      </c>
    </row>
    <row r="101" spans="1:9" ht="28.8" x14ac:dyDescent="0.3">
      <c r="A101" s="1" t="s">
        <v>67</v>
      </c>
      <c r="B101" s="1" t="s">
        <v>23</v>
      </c>
      <c r="C101" s="1" t="s">
        <v>34</v>
      </c>
      <c r="D101" s="1" t="s">
        <v>15</v>
      </c>
      <c r="E101" s="1">
        <v>902.19</v>
      </c>
      <c r="F101" s="1">
        <v>12</v>
      </c>
      <c r="G101" s="2">
        <v>0</v>
      </c>
      <c r="H101" s="3">
        <v>45564</v>
      </c>
      <c r="I101" s="1">
        <v>451.1</v>
      </c>
    </row>
    <row r="102" spans="1:9" ht="28.8" x14ac:dyDescent="0.3">
      <c r="A102" s="1" t="s">
        <v>74</v>
      </c>
      <c r="B102" s="1" t="s">
        <v>38</v>
      </c>
      <c r="C102" s="1" t="s">
        <v>24</v>
      </c>
      <c r="D102" s="1" t="s">
        <v>12</v>
      </c>
      <c r="E102" s="1">
        <v>585.97</v>
      </c>
      <c r="F102" s="1">
        <v>17</v>
      </c>
      <c r="G102" s="2">
        <v>0.1</v>
      </c>
      <c r="H102" s="3">
        <v>45565</v>
      </c>
      <c r="I102" s="1">
        <v>210.95</v>
      </c>
    </row>
    <row r="103" spans="1:9" ht="28.8" x14ac:dyDescent="0.3">
      <c r="A103" s="1" t="s">
        <v>60</v>
      </c>
      <c r="B103" s="1" t="s">
        <v>26</v>
      </c>
      <c r="C103" s="1" t="s">
        <v>24</v>
      </c>
      <c r="D103" s="1" t="s">
        <v>15</v>
      </c>
      <c r="E103" s="1">
        <v>990.19</v>
      </c>
      <c r="F103" s="1">
        <v>8</v>
      </c>
      <c r="G103" s="2">
        <v>0.1</v>
      </c>
      <c r="H103" s="3">
        <v>45565</v>
      </c>
      <c r="I103" s="1">
        <v>445.59</v>
      </c>
    </row>
    <row r="104" spans="1:9" ht="28.8" x14ac:dyDescent="0.3">
      <c r="A104" s="1" t="s">
        <v>44</v>
      </c>
      <c r="B104" s="1" t="s">
        <v>56</v>
      </c>
      <c r="C104" s="1" t="s">
        <v>34</v>
      </c>
      <c r="D104" s="1" t="s">
        <v>21</v>
      </c>
      <c r="E104" s="1">
        <v>1014.09</v>
      </c>
      <c r="F104" s="1">
        <v>13</v>
      </c>
      <c r="G104" s="2">
        <v>0.2</v>
      </c>
      <c r="H104" s="3">
        <v>45567</v>
      </c>
      <c r="I104" s="1">
        <v>202.82</v>
      </c>
    </row>
    <row r="105" spans="1:9" ht="28.8" x14ac:dyDescent="0.3">
      <c r="A105" s="1" t="s">
        <v>13</v>
      </c>
      <c r="B105" s="1" t="s">
        <v>48</v>
      </c>
      <c r="C105" s="1" t="s">
        <v>24</v>
      </c>
      <c r="D105" s="1" t="s">
        <v>21</v>
      </c>
      <c r="E105" s="1">
        <v>925.29</v>
      </c>
      <c r="F105" s="1">
        <v>17</v>
      </c>
      <c r="G105" s="2">
        <v>0</v>
      </c>
      <c r="H105" s="3">
        <v>45570</v>
      </c>
      <c r="I105" s="1">
        <v>231.32</v>
      </c>
    </row>
    <row r="106" spans="1:9" ht="28.8" x14ac:dyDescent="0.3">
      <c r="A106" s="1" t="s">
        <v>54</v>
      </c>
      <c r="B106" s="1" t="s">
        <v>47</v>
      </c>
      <c r="C106" s="1" t="s">
        <v>18</v>
      </c>
      <c r="D106" s="1" t="s">
        <v>27</v>
      </c>
      <c r="E106" s="1">
        <v>1286.54</v>
      </c>
      <c r="F106" s="1">
        <v>8</v>
      </c>
      <c r="G106" s="2">
        <v>0</v>
      </c>
      <c r="H106" s="3">
        <v>45575</v>
      </c>
      <c r="I106" s="1">
        <v>450.29</v>
      </c>
    </row>
    <row r="107" spans="1:9" ht="28.8" x14ac:dyDescent="0.3">
      <c r="A107" s="1" t="s">
        <v>37</v>
      </c>
      <c r="B107" s="1" t="s">
        <v>64</v>
      </c>
      <c r="C107" s="1" t="s">
        <v>20</v>
      </c>
      <c r="D107" s="1" t="s">
        <v>12</v>
      </c>
      <c r="E107" s="1">
        <v>961.62</v>
      </c>
      <c r="F107" s="1">
        <v>8</v>
      </c>
      <c r="G107" s="2">
        <v>0.2</v>
      </c>
      <c r="H107" s="3">
        <v>45577</v>
      </c>
      <c r="I107" s="1">
        <v>307.72000000000003</v>
      </c>
    </row>
    <row r="108" spans="1:9" ht="28.8" x14ac:dyDescent="0.3">
      <c r="A108" s="1" t="s">
        <v>44</v>
      </c>
      <c r="B108" s="1" t="s">
        <v>23</v>
      </c>
      <c r="C108" s="1" t="s">
        <v>18</v>
      </c>
      <c r="D108" s="1" t="s">
        <v>12</v>
      </c>
      <c r="E108" s="1">
        <v>1081.1400000000001</v>
      </c>
      <c r="F108" s="1">
        <v>19</v>
      </c>
      <c r="G108" s="2">
        <v>0.15</v>
      </c>
      <c r="H108" s="3">
        <v>45577</v>
      </c>
      <c r="I108" s="1">
        <v>367.59</v>
      </c>
    </row>
    <row r="109" spans="1:9" ht="28.8" x14ac:dyDescent="0.3">
      <c r="A109" s="1" t="s">
        <v>58</v>
      </c>
      <c r="B109" s="1" t="s">
        <v>23</v>
      </c>
      <c r="C109" s="1" t="s">
        <v>11</v>
      </c>
      <c r="D109" s="1" t="s">
        <v>15</v>
      </c>
      <c r="E109" s="1">
        <v>1923.66</v>
      </c>
      <c r="F109" s="1">
        <v>9</v>
      </c>
      <c r="G109" s="2">
        <v>0.2</v>
      </c>
      <c r="H109" s="3">
        <v>45580</v>
      </c>
      <c r="I109" s="1">
        <v>769.46</v>
      </c>
    </row>
    <row r="110" spans="1:9" ht="28.8" x14ac:dyDescent="0.3">
      <c r="A110" s="1" t="s">
        <v>54</v>
      </c>
      <c r="B110" s="1" t="s">
        <v>66</v>
      </c>
      <c r="C110" s="1" t="s">
        <v>34</v>
      </c>
      <c r="D110" s="1" t="s">
        <v>15</v>
      </c>
      <c r="E110" s="1">
        <v>728.71</v>
      </c>
      <c r="F110" s="1">
        <v>14</v>
      </c>
      <c r="G110" s="2">
        <v>0.1</v>
      </c>
      <c r="H110" s="3">
        <v>45581</v>
      </c>
      <c r="I110" s="1">
        <v>327.92</v>
      </c>
    </row>
    <row r="111" spans="1:9" ht="28.8" x14ac:dyDescent="0.3">
      <c r="A111" s="1" t="s">
        <v>9</v>
      </c>
      <c r="B111" s="1" t="s">
        <v>33</v>
      </c>
      <c r="C111" s="1" t="s">
        <v>34</v>
      </c>
      <c r="D111" s="1" t="s">
        <v>15</v>
      </c>
      <c r="E111" s="1">
        <v>1301.8900000000001</v>
      </c>
      <c r="F111" s="1">
        <v>7</v>
      </c>
      <c r="G111" s="2">
        <v>0.15</v>
      </c>
      <c r="H111" s="3">
        <v>45581</v>
      </c>
      <c r="I111" s="1">
        <v>553.29999999999995</v>
      </c>
    </row>
    <row r="112" spans="1:9" ht="28.8" x14ac:dyDescent="0.3">
      <c r="A112" s="1" t="s">
        <v>70</v>
      </c>
      <c r="B112" s="1" t="s">
        <v>66</v>
      </c>
      <c r="C112" s="1" t="s">
        <v>18</v>
      </c>
      <c r="D112" s="1" t="s">
        <v>12</v>
      </c>
      <c r="E112" s="1">
        <v>980.18</v>
      </c>
      <c r="F112" s="1">
        <v>16</v>
      </c>
      <c r="G112" s="2">
        <v>0.1</v>
      </c>
      <c r="H112" s="3">
        <v>45582</v>
      </c>
      <c r="I112" s="1">
        <v>352.86</v>
      </c>
    </row>
    <row r="113" spans="1:9" ht="28.8" x14ac:dyDescent="0.3">
      <c r="A113" s="1" t="s">
        <v>74</v>
      </c>
      <c r="B113" s="1" t="s">
        <v>23</v>
      </c>
      <c r="C113" s="1" t="s">
        <v>11</v>
      </c>
      <c r="D113" s="1" t="s">
        <v>15</v>
      </c>
      <c r="E113" s="1">
        <v>697.57</v>
      </c>
      <c r="F113" s="1">
        <v>17</v>
      </c>
      <c r="G113" s="2">
        <v>0.1</v>
      </c>
      <c r="H113" s="3">
        <v>45584</v>
      </c>
      <c r="I113" s="1">
        <v>313.91000000000003</v>
      </c>
    </row>
    <row r="114" spans="1:9" ht="28.8" x14ac:dyDescent="0.3">
      <c r="A114" s="1" t="s">
        <v>46</v>
      </c>
      <c r="B114" s="1" t="s">
        <v>71</v>
      </c>
      <c r="C114" s="1" t="s">
        <v>11</v>
      </c>
      <c r="D114" s="1" t="s">
        <v>27</v>
      </c>
      <c r="E114" s="1">
        <v>1193.6099999999999</v>
      </c>
      <c r="F114" s="1">
        <v>1</v>
      </c>
      <c r="G114" s="2">
        <v>0.15</v>
      </c>
      <c r="H114" s="3">
        <v>45584</v>
      </c>
      <c r="I114" s="1">
        <v>355.1</v>
      </c>
    </row>
    <row r="115" spans="1:9" ht="28.8" x14ac:dyDescent="0.3">
      <c r="A115" s="1" t="s">
        <v>32</v>
      </c>
      <c r="B115" s="1" t="s">
        <v>38</v>
      </c>
      <c r="C115" s="1" t="s">
        <v>20</v>
      </c>
      <c r="D115" s="1" t="s">
        <v>21</v>
      </c>
      <c r="E115" s="1">
        <v>771.02</v>
      </c>
      <c r="F115" s="1">
        <v>1</v>
      </c>
      <c r="G115" s="2">
        <v>0</v>
      </c>
      <c r="H115" s="3">
        <v>45585</v>
      </c>
      <c r="I115" s="1">
        <v>192.76</v>
      </c>
    </row>
    <row r="116" spans="1:9" ht="28.8" x14ac:dyDescent="0.3">
      <c r="A116" s="1" t="s">
        <v>67</v>
      </c>
      <c r="B116" s="1" t="s">
        <v>69</v>
      </c>
      <c r="C116" s="1" t="s">
        <v>24</v>
      </c>
      <c r="D116" s="1" t="s">
        <v>15</v>
      </c>
      <c r="E116" s="1">
        <v>661.09</v>
      </c>
      <c r="F116" s="1">
        <v>1</v>
      </c>
      <c r="G116" s="2">
        <v>0.2</v>
      </c>
      <c r="H116" s="3">
        <v>45593</v>
      </c>
      <c r="I116" s="1">
        <v>264.44</v>
      </c>
    </row>
    <row r="117" spans="1:9" ht="28.8" x14ac:dyDescent="0.3">
      <c r="A117" s="1" t="s">
        <v>13</v>
      </c>
      <c r="B117" s="1" t="s">
        <v>55</v>
      </c>
      <c r="C117" s="1" t="s">
        <v>11</v>
      </c>
      <c r="D117" s="1" t="s">
        <v>21</v>
      </c>
      <c r="E117" s="1">
        <v>688.83</v>
      </c>
      <c r="F117" s="1">
        <v>15</v>
      </c>
      <c r="G117" s="2">
        <v>0</v>
      </c>
      <c r="H117" s="3">
        <v>45595</v>
      </c>
      <c r="I117" s="1">
        <v>172.21</v>
      </c>
    </row>
    <row r="118" spans="1:9" ht="28.8" x14ac:dyDescent="0.3">
      <c r="A118" s="1" t="s">
        <v>73</v>
      </c>
      <c r="B118" s="1" t="s">
        <v>29</v>
      </c>
      <c r="C118" s="1" t="s">
        <v>34</v>
      </c>
      <c r="D118" s="1" t="s">
        <v>12</v>
      </c>
      <c r="E118" s="1">
        <v>1249.0999999999999</v>
      </c>
      <c r="F118" s="1">
        <v>4</v>
      </c>
      <c r="G118" s="2">
        <v>0.05</v>
      </c>
      <c r="H118" s="3">
        <v>45597</v>
      </c>
      <c r="I118" s="1">
        <v>474.66</v>
      </c>
    </row>
    <row r="119" spans="1:9" ht="28.8"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ht="28.8" x14ac:dyDescent="0.3">
      <c r="A121" s="1" t="s">
        <v>30</v>
      </c>
      <c r="B121" s="1" t="s">
        <v>59</v>
      </c>
      <c r="C121" s="1" t="s">
        <v>24</v>
      </c>
      <c r="D121" s="1" t="s">
        <v>27</v>
      </c>
      <c r="E121" s="1">
        <v>957.29</v>
      </c>
      <c r="F121" s="1">
        <v>4</v>
      </c>
      <c r="G121" s="2">
        <v>0.05</v>
      </c>
      <c r="H121" s="3">
        <v>45605</v>
      </c>
      <c r="I121" s="1">
        <v>318.3</v>
      </c>
    </row>
    <row r="122" spans="1:9" ht="28.8" x14ac:dyDescent="0.3">
      <c r="A122" s="1" t="s">
        <v>28</v>
      </c>
      <c r="B122" s="1" t="s">
        <v>45</v>
      </c>
      <c r="C122" s="1" t="s">
        <v>24</v>
      </c>
      <c r="D122" s="1" t="s">
        <v>27</v>
      </c>
      <c r="E122" s="1">
        <v>1077.92</v>
      </c>
      <c r="F122" s="1">
        <v>3</v>
      </c>
      <c r="G122" s="2">
        <v>0.05</v>
      </c>
      <c r="H122" s="3">
        <v>45608</v>
      </c>
      <c r="I122" s="1">
        <v>358.41</v>
      </c>
    </row>
    <row r="123" spans="1:9" ht="28.8" x14ac:dyDescent="0.3">
      <c r="A123" s="1" t="s">
        <v>52</v>
      </c>
      <c r="B123" s="1" t="s">
        <v>50</v>
      </c>
      <c r="C123" s="1" t="s">
        <v>20</v>
      </c>
      <c r="D123" s="1" t="s">
        <v>15</v>
      </c>
      <c r="E123" s="1">
        <v>1163.01</v>
      </c>
      <c r="F123" s="1">
        <v>5</v>
      </c>
      <c r="G123" s="2">
        <v>0</v>
      </c>
      <c r="H123" s="3">
        <v>45611</v>
      </c>
      <c r="I123" s="1">
        <v>581.5</v>
      </c>
    </row>
    <row r="124" spans="1:9" ht="28.8" x14ac:dyDescent="0.3">
      <c r="A124" s="1" t="s">
        <v>54</v>
      </c>
      <c r="B124" s="1" t="s">
        <v>45</v>
      </c>
      <c r="C124" s="1" t="s">
        <v>18</v>
      </c>
      <c r="D124" s="1" t="s">
        <v>39</v>
      </c>
      <c r="E124" s="1">
        <v>1014.56</v>
      </c>
      <c r="F124" s="1">
        <v>10</v>
      </c>
      <c r="G124" s="2">
        <v>0.1</v>
      </c>
      <c r="H124" s="3">
        <v>45612</v>
      </c>
      <c r="I124" s="1">
        <v>410.9</v>
      </c>
    </row>
    <row r="125" spans="1:9" ht="28.8" x14ac:dyDescent="0.3">
      <c r="A125" s="1" t="s">
        <v>9</v>
      </c>
      <c r="B125" s="1" t="s">
        <v>17</v>
      </c>
      <c r="C125" s="1" t="s">
        <v>20</v>
      </c>
      <c r="D125" s="1" t="s">
        <v>21</v>
      </c>
      <c r="E125" s="1">
        <v>718.04</v>
      </c>
      <c r="F125" s="1">
        <v>14</v>
      </c>
      <c r="G125" s="2">
        <v>0</v>
      </c>
      <c r="H125" s="3">
        <v>45613</v>
      </c>
      <c r="I125" s="1">
        <v>179.51</v>
      </c>
    </row>
    <row r="126" spans="1:9" ht="28.8" x14ac:dyDescent="0.3">
      <c r="A126" s="1" t="s">
        <v>72</v>
      </c>
      <c r="B126" s="1" t="s">
        <v>17</v>
      </c>
      <c r="C126" s="1" t="s">
        <v>34</v>
      </c>
      <c r="D126" s="1" t="s">
        <v>15</v>
      </c>
      <c r="E126" s="1">
        <v>1277.8499999999999</v>
      </c>
      <c r="F126" s="1">
        <v>18</v>
      </c>
      <c r="G126" s="2">
        <v>0.2</v>
      </c>
      <c r="H126" s="3">
        <v>45613</v>
      </c>
      <c r="I126" s="1">
        <v>511.14</v>
      </c>
    </row>
    <row r="127" spans="1:9" ht="28.8" x14ac:dyDescent="0.3">
      <c r="A127" s="1" t="s">
        <v>70</v>
      </c>
      <c r="B127" s="1" t="s">
        <v>23</v>
      </c>
      <c r="C127" s="1" t="s">
        <v>24</v>
      </c>
      <c r="D127" s="1" t="s">
        <v>21</v>
      </c>
      <c r="E127" s="1">
        <v>706.73</v>
      </c>
      <c r="F127" s="1">
        <v>1</v>
      </c>
      <c r="G127" s="2">
        <v>0.15</v>
      </c>
      <c r="H127" s="3">
        <v>45613</v>
      </c>
      <c r="I127" s="1">
        <v>150.18</v>
      </c>
    </row>
    <row r="128" spans="1:9" ht="28.8" x14ac:dyDescent="0.3">
      <c r="A128" s="1" t="s">
        <v>65</v>
      </c>
      <c r="B128" s="1" t="s">
        <v>50</v>
      </c>
      <c r="C128" s="1" t="s">
        <v>18</v>
      </c>
      <c r="D128" s="1" t="s">
        <v>21</v>
      </c>
      <c r="E128" s="1">
        <v>1410.59</v>
      </c>
      <c r="F128" s="1">
        <v>15</v>
      </c>
      <c r="G128" s="2">
        <v>0</v>
      </c>
      <c r="H128" s="3">
        <v>45615</v>
      </c>
      <c r="I128" s="1">
        <v>352.65</v>
      </c>
    </row>
    <row r="129" spans="1:9" ht="28.8" x14ac:dyDescent="0.3">
      <c r="A129" s="1" t="s">
        <v>32</v>
      </c>
      <c r="B129" s="1" t="s">
        <v>61</v>
      </c>
      <c r="C129" s="1" t="s">
        <v>20</v>
      </c>
      <c r="D129" s="1" t="s">
        <v>27</v>
      </c>
      <c r="E129" s="1">
        <v>1350.33</v>
      </c>
      <c r="F129" s="1">
        <v>10</v>
      </c>
      <c r="G129" s="2">
        <v>0</v>
      </c>
      <c r="H129" s="3">
        <v>45615</v>
      </c>
      <c r="I129" s="1">
        <v>472.62</v>
      </c>
    </row>
    <row r="130" spans="1:9" ht="28.8" x14ac:dyDescent="0.3">
      <c r="A130" s="1" t="s">
        <v>41</v>
      </c>
      <c r="B130" s="1" t="s">
        <v>45</v>
      </c>
      <c r="C130" s="1" t="s">
        <v>18</v>
      </c>
      <c r="D130" s="1" t="s">
        <v>21</v>
      </c>
      <c r="E130" s="1">
        <v>919.18</v>
      </c>
      <c r="F130" s="1">
        <v>4</v>
      </c>
      <c r="G130" s="2">
        <v>0.15</v>
      </c>
      <c r="H130" s="3">
        <v>45615</v>
      </c>
      <c r="I130" s="1">
        <v>195.33</v>
      </c>
    </row>
    <row r="131" spans="1:9" ht="28.8" x14ac:dyDescent="0.3">
      <c r="A131" s="1" t="s">
        <v>74</v>
      </c>
      <c r="B131" s="1" t="s">
        <v>23</v>
      </c>
      <c r="C131" s="1" t="s">
        <v>11</v>
      </c>
      <c r="D131" s="1" t="s">
        <v>21</v>
      </c>
      <c r="E131" s="1">
        <v>258.51</v>
      </c>
      <c r="F131" s="1">
        <v>19</v>
      </c>
      <c r="G131" s="2">
        <v>0</v>
      </c>
      <c r="H131" s="3">
        <v>45616</v>
      </c>
      <c r="I131" s="1">
        <v>64.63</v>
      </c>
    </row>
    <row r="132" spans="1:9" ht="28.8" x14ac:dyDescent="0.3">
      <c r="A132" s="1" t="s">
        <v>63</v>
      </c>
      <c r="B132" s="1" t="s">
        <v>61</v>
      </c>
      <c r="C132" s="1" t="s">
        <v>18</v>
      </c>
      <c r="D132" s="1" t="s">
        <v>12</v>
      </c>
      <c r="E132" s="1">
        <v>1213.48</v>
      </c>
      <c r="F132" s="1">
        <v>5</v>
      </c>
      <c r="G132" s="2">
        <v>0.05</v>
      </c>
      <c r="H132" s="3">
        <v>45616</v>
      </c>
      <c r="I132" s="1">
        <v>461.12</v>
      </c>
    </row>
    <row r="133" spans="1:9" ht="28.8" x14ac:dyDescent="0.3">
      <c r="A133" s="1" t="s">
        <v>57</v>
      </c>
      <c r="B133" s="1" t="s">
        <v>38</v>
      </c>
      <c r="C133" s="1" t="s">
        <v>34</v>
      </c>
      <c r="D133" s="1" t="s">
        <v>12</v>
      </c>
      <c r="E133" s="1">
        <v>1150.28</v>
      </c>
      <c r="F133" s="1">
        <v>8</v>
      </c>
      <c r="G133" s="2">
        <v>0.05</v>
      </c>
      <c r="H133" s="3">
        <v>45622</v>
      </c>
      <c r="I133" s="1">
        <v>437.11</v>
      </c>
    </row>
    <row r="134" spans="1:9" ht="28.8" x14ac:dyDescent="0.3">
      <c r="A134" s="1" t="s">
        <v>37</v>
      </c>
      <c r="B134" s="1" t="s">
        <v>71</v>
      </c>
      <c r="C134" s="1" t="s">
        <v>20</v>
      </c>
      <c r="D134" s="1" t="s">
        <v>27</v>
      </c>
      <c r="E134" s="1">
        <v>853.86</v>
      </c>
      <c r="F134" s="1">
        <v>8</v>
      </c>
      <c r="G134" s="2">
        <v>0.1</v>
      </c>
      <c r="H134" s="3">
        <v>45622</v>
      </c>
      <c r="I134" s="1">
        <v>268.97000000000003</v>
      </c>
    </row>
    <row r="135" spans="1:9" ht="28.8" x14ac:dyDescent="0.3">
      <c r="A135" s="1" t="s">
        <v>75</v>
      </c>
      <c r="B135" s="1" t="s">
        <v>45</v>
      </c>
      <c r="C135" s="1" t="s">
        <v>20</v>
      </c>
      <c r="D135" s="1" t="s">
        <v>21</v>
      </c>
      <c r="E135" s="1">
        <v>1061.04</v>
      </c>
      <c r="F135" s="1">
        <v>1</v>
      </c>
      <c r="G135" s="2">
        <v>0</v>
      </c>
      <c r="H135" s="3">
        <v>45624</v>
      </c>
      <c r="I135" s="1">
        <v>265.26</v>
      </c>
    </row>
    <row r="136" spans="1:9" ht="28.8" x14ac:dyDescent="0.3">
      <c r="A136" s="1" t="s">
        <v>28</v>
      </c>
      <c r="B136" s="1" t="s">
        <v>43</v>
      </c>
      <c r="C136" s="1" t="s">
        <v>11</v>
      </c>
      <c r="D136" s="1" t="s">
        <v>21</v>
      </c>
      <c r="E136" s="1">
        <v>894.55</v>
      </c>
      <c r="F136" s="1">
        <v>19</v>
      </c>
      <c r="G136" s="2">
        <v>0.2</v>
      </c>
      <c r="H136" s="3">
        <v>45625</v>
      </c>
      <c r="I136" s="1">
        <v>178.91</v>
      </c>
    </row>
    <row r="137" spans="1:9" ht="28.8" x14ac:dyDescent="0.3">
      <c r="A137" s="1" t="s">
        <v>25</v>
      </c>
      <c r="B137" s="1" t="s">
        <v>38</v>
      </c>
      <c r="C137" s="1" t="s">
        <v>24</v>
      </c>
      <c r="D137" s="1" t="s">
        <v>39</v>
      </c>
      <c r="E137" s="1">
        <v>833.91</v>
      </c>
      <c r="F137" s="1">
        <v>3</v>
      </c>
      <c r="G137" s="2">
        <v>0.05</v>
      </c>
      <c r="H137" s="3">
        <v>45626</v>
      </c>
      <c r="I137" s="1">
        <v>356.5</v>
      </c>
    </row>
    <row r="138" spans="1:9" ht="28.8" x14ac:dyDescent="0.3">
      <c r="A138" s="1" t="s">
        <v>58</v>
      </c>
      <c r="B138" s="1" t="s">
        <v>71</v>
      </c>
      <c r="C138" s="1" t="s">
        <v>11</v>
      </c>
      <c r="D138" s="1" t="s">
        <v>27</v>
      </c>
      <c r="E138" s="1">
        <v>820.19</v>
      </c>
      <c r="F138" s="1">
        <v>4</v>
      </c>
      <c r="G138" s="2">
        <v>0.2</v>
      </c>
      <c r="H138" s="3">
        <v>45630</v>
      </c>
      <c r="I138" s="1">
        <v>229.65</v>
      </c>
    </row>
    <row r="139" spans="1:9" ht="28.8" x14ac:dyDescent="0.3">
      <c r="A139" s="1" t="s">
        <v>58</v>
      </c>
      <c r="B139" s="1" t="s">
        <v>38</v>
      </c>
      <c r="C139" s="1" t="s">
        <v>34</v>
      </c>
      <c r="D139" s="1" t="s">
        <v>21</v>
      </c>
      <c r="E139" s="1">
        <v>511.74</v>
      </c>
      <c r="F139" s="1">
        <v>8</v>
      </c>
      <c r="G139" s="2">
        <v>0.05</v>
      </c>
      <c r="H139" s="3">
        <v>45631</v>
      </c>
      <c r="I139" s="1">
        <v>121.54</v>
      </c>
    </row>
    <row r="140" spans="1:9" ht="28.8" x14ac:dyDescent="0.3">
      <c r="A140" s="1" t="s">
        <v>65</v>
      </c>
      <c r="B140" s="1" t="s">
        <v>61</v>
      </c>
      <c r="C140" s="1" t="s">
        <v>20</v>
      </c>
      <c r="D140" s="1" t="s">
        <v>27</v>
      </c>
      <c r="E140" s="1">
        <v>806.03</v>
      </c>
      <c r="F140" s="1">
        <v>19</v>
      </c>
      <c r="G140" s="2">
        <v>0.05</v>
      </c>
      <c r="H140" s="3">
        <v>45638</v>
      </c>
      <c r="I140" s="1">
        <v>268</v>
      </c>
    </row>
    <row r="141" spans="1:9" ht="28.8" x14ac:dyDescent="0.3">
      <c r="A141" s="1" t="s">
        <v>28</v>
      </c>
      <c r="B141" s="1" t="s">
        <v>26</v>
      </c>
      <c r="C141" s="1" t="s">
        <v>34</v>
      </c>
      <c r="D141" s="1" t="s">
        <v>27</v>
      </c>
      <c r="E141" s="1">
        <v>1432.47</v>
      </c>
      <c r="F141" s="1">
        <v>16</v>
      </c>
      <c r="G141" s="2">
        <v>0.15</v>
      </c>
      <c r="H141" s="3">
        <v>45640</v>
      </c>
      <c r="I141" s="1">
        <v>426.16</v>
      </c>
    </row>
    <row r="142" spans="1:9" ht="28.8" x14ac:dyDescent="0.3">
      <c r="A142" s="1" t="s">
        <v>74</v>
      </c>
      <c r="B142" s="1" t="s">
        <v>29</v>
      </c>
      <c r="C142" s="1" t="s">
        <v>34</v>
      </c>
      <c r="D142" s="1" t="s">
        <v>21</v>
      </c>
      <c r="E142" s="1">
        <v>1488.58</v>
      </c>
      <c r="F142" s="1">
        <v>10</v>
      </c>
      <c r="G142" s="2">
        <v>0.15</v>
      </c>
      <c r="H142" s="3">
        <v>45640</v>
      </c>
      <c r="I142" s="1">
        <v>316.32</v>
      </c>
    </row>
    <row r="143" spans="1:9" ht="28.8" x14ac:dyDescent="0.3">
      <c r="A143" s="1" t="s">
        <v>30</v>
      </c>
      <c r="B143" s="1" t="s">
        <v>66</v>
      </c>
      <c r="C143" s="1" t="s">
        <v>18</v>
      </c>
      <c r="D143" s="1" t="s">
        <v>12</v>
      </c>
      <c r="E143" s="1">
        <v>1231.26</v>
      </c>
      <c r="F143" s="1">
        <v>9</v>
      </c>
      <c r="G143" s="2">
        <v>0</v>
      </c>
      <c r="H143" s="3">
        <v>45646</v>
      </c>
      <c r="I143" s="1">
        <v>492.5</v>
      </c>
    </row>
    <row r="144" spans="1:9" ht="28.8" x14ac:dyDescent="0.3">
      <c r="A144" s="1" t="s">
        <v>30</v>
      </c>
      <c r="B144" s="1" t="s">
        <v>43</v>
      </c>
      <c r="C144" s="1" t="s">
        <v>11</v>
      </c>
      <c r="D144" s="1" t="s">
        <v>21</v>
      </c>
      <c r="E144" s="1">
        <v>1161.67</v>
      </c>
      <c r="F144" s="1">
        <v>19</v>
      </c>
      <c r="G144" s="2">
        <v>0.2</v>
      </c>
      <c r="H144" s="3">
        <v>45647</v>
      </c>
      <c r="I144" s="1">
        <v>232.33</v>
      </c>
    </row>
    <row r="145" spans="1:9" ht="28.8" x14ac:dyDescent="0.3">
      <c r="A145" s="1" t="s">
        <v>49</v>
      </c>
      <c r="B145" s="1" t="s">
        <v>45</v>
      </c>
      <c r="C145" s="1" t="s">
        <v>34</v>
      </c>
      <c r="D145" s="1" t="s">
        <v>39</v>
      </c>
      <c r="E145" s="1">
        <v>388.23</v>
      </c>
      <c r="F145" s="1">
        <v>16</v>
      </c>
      <c r="G145" s="2">
        <v>0.05</v>
      </c>
      <c r="H145" s="3">
        <v>45650</v>
      </c>
      <c r="I145" s="1">
        <v>165.97</v>
      </c>
    </row>
    <row r="146" spans="1:9" ht="28.8" x14ac:dyDescent="0.3">
      <c r="A146" s="1" t="s">
        <v>72</v>
      </c>
      <c r="B146" s="1" t="s">
        <v>31</v>
      </c>
      <c r="C146" s="1" t="s">
        <v>24</v>
      </c>
      <c r="D146" s="1" t="s">
        <v>15</v>
      </c>
      <c r="E146" s="1">
        <v>1589.42</v>
      </c>
      <c r="F146" s="1">
        <v>6</v>
      </c>
      <c r="G146" s="2">
        <v>0.15</v>
      </c>
      <c r="H146" s="3">
        <v>45651</v>
      </c>
      <c r="I146" s="1">
        <v>675.5</v>
      </c>
    </row>
    <row r="147" spans="1:9" ht="28.8" x14ac:dyDescent="0.3">
      <c r="A147" s="1" t="s">
        <v>28</v>
      </c>
      <c r="B147" s="1" t="s">
        <v>71</v>
      </c>
      <c r="C147" s="1" t="s">
        <v>24</v>
      </c>
      <c r="D147" s="1" t="s">
        <v>15</v>
      </c>
      <c r="E147" s="1">
        <v>336.66</v>
      </c>
      <c r="F147" s="1">
        <v>13</v>
      </c>
      <c r="G147" s="2">
        <v>0.2</v>
      </c>
      <c r="H147" s="3">
        <v>45651</v>
      </c>
      <c r="I147" s="1">
        <v>134.66</v>
      </c>
    </row>
    <row r="148" spans="1:9" ht="28.8" x14ac:dyDescent="0.3">
      <c r="A148" s="1" t="s">
        <v>49</v>
      </c>
      <c r="B148" s="1" t="s">
        <v>23</v>
      </c>
      <c r="C148" s="1" t="s">
        <v>11</v>
      </c>
      <c r="D148" s="1" t="s">
        <v>12</v>
      </c>
      <c r="E148" s="1">
        <v>1353.79</v>
      </c>
      <c r="F148" s="1">
        <v>14</v>
      </c>
      <c r="G148" s="2">
        <v>0.1</v>
      </c>
      <c r="H148" s="3">
        <v>45656</v>
      </c>
      <c r="I148" s="1">
        <v>487.36</v>
      </c>
    </row>
    <row r="149" spans="1:9" ht="28.8" x14ac:dyDescent="0.3">
      <c r="A149" s="1" t="s">
        <v>63</v>
      </c>
      <c r="B149" s="1" t="s">
        <v>69</v>
      </c>
      <c r="C149" s="1" t="s">
        <v>34</v>
      </c>
      <c r="D149" s="1" t="s">
        <v>15</v>
      </c>
      <c r="E149" s="1">
        <v>662.61</v>
      </c>
      <c r="F149" s="1">
        <v>11</v>
      </c>
      <c r="G149" s="2">
        <v>0.05</v>
      </c>
      <c r="H149" s="3">
        <v>45658</v>
      </c>
      <c r="I149" s="1">
        <v>314.74</v>
      </c>
    </row>
    <row r="150" spans="1:9" ht="28.8" x14ac:dyDescent="0.3">
      <c r="A150" s="1" t="s">
        <v>52</v>
      </c>
      <c r="B150" s="1" t="s">
        <v>48</v>
      </c>
      <c r="C150" s="1" t="s">
        <v>24</v>
      </c>
      <c r="D150" s="1" t="s">
        <v>39</v>
      </c>
      <c r="E150" s="1">
        <v>309.42</v>
      </c>
      <c r="F150" s="1">
        <v>1</v>
      </c>
      <c r="G150" s="2">
        <v>0.2</v>
      </c>
      <c r="H150" s="3">
        <v>45658</v>
      </c>
      <c r="I150" s="1">
        <v>111.39</v>
      </c>
    </row>
    <row r="151" spans="1:9" ht="28.8" x14ac:dyDescent="0.3">
      <c r="A151" s="1" t="s">
        <v>63</v>
      </c>
      <c r="B151" s="1" t="s">
        <v>29</v>
      </c>
      <c r="C151" s="1" t="s">
        <v>24</v>
      </c>
      <c r="D151" s="1" t="s">
        <v>12</v>
      </c>
      <c r="E151" s="1">
        <v>884.63</v>
      </c>
      <c r="F151" s="1">
        <v>18</v>
      </c>
      <c r="G151" s="2">
        <v>0.1</v>
      </c>
      <c r="H151" s="3">
        <v>45659</v>
      </c>
      <c r="I151" s="1">
        <v>318.47000000000003</v>
      </c>
    </row>
    <row r="152" spans="1:9" ht="28.8" x14ac:dyDescent="0.3">
      <c r="A152" s="1" t="s">
        <v>52</v>
      </c>
      <c r="B152" s="1" t="s">
        <v>23</v>
      </c>
      <c r="C152" s="1" t="s">
        <v>34</v>
      </c>
      <c r="D152" s="1" t="s">
        <v>39</v>
      </c>
      <c r="E152" s="1">
        <v>745.05</v>
      </c>
      <c r="F152" s="1">
        <v>10</v>
      </c>
      <c r="G152" s="2">
        <v>0.1</v>
      </c>
      <c r="H152" s="3">
        <v>45660</v>
      </c>
      <c r="I152" s="1">
        <v>301.75</v>
      </c>
    </row>
    <row r="153" spans="1:9" ht="28.8" x14ac:dyDescent="0.3">
      <c r="A153" s="1" t="s">
        <v>60</v>
      </c>
      <c r="B153" s="1" t="s">
        <v>17</v>
      </c>
      <c r="C153" s="1" t="s">
        <v>20</v>
      </c>
      <c r="D153" s="1" t="s">
        <v>15</v>
      </c>
      <c r="E153" s="1">
        <v>870.23</v>
      </c>
      <c r="F153" s="1">
        <v>5</v>
      </c>
      <c r="G153" s="2">
        <v>0.05</v>
      </c>
      <c r="H153" s="3">
        <v>45660</v>
      </c>
      <c r="I153" s="1">
        <v>413.36</v>
      </c>
    </row>
    <row r="154" spans="1:9" ht="28.8" x14ac:dyDescent="0.3">
      <c r="A154" s="1" t="s">
        <v>35</v>
      </c>
      <c r="B154" s="1" t="s">
        <v>29</v>
      </c>
      <c r="C154" s="1" t="s">
        <v>11</v>
      </c>
      <c r="D154" s="1" t="s">
        <v>27</v>
      </c>
      <c r="E154" s="1">
        <v>862.19</v>
      </c>
      <c r="F154" s="1">
        <v>18</v>
      </c>
      <c r="G154" s="2">
        <v>0.05</v>
      </c>
      <c r="H154" s="3">
        <v>45663</v>
      </c>
      <c r="I154" s="1">
        <v>286.68</v>
      </c>
    </row>
    <row r="155" spans="1:9" ht="28.8" x14ac:dyDescent="0.3">
      <c r="A155" s="1" t="s">
        <v>73</v>
      </c>
      <c r="B155" s="1" t="s">
        <v>59</v>
      </c>
      <c r="C155" s="1" t="s">
        <v>24</v>
      </c>
      <c r="D155" s="1" t="s">
        <v>15</v>
      </c>
      <c r="E155" s="1">
        <v>1171.18</v>
      </c>
      <c r="F155" s="1">
        <v>19</v>
      </c>
      <c r="G155" s="2">
        <v>0.05</v>
      </c>
      <c r="H155" s="3">
        <v>45667</v>
      </c>
      <c r="I155" s="1">
        <v>556.30999999999995</v>
      </c>
    </row>
    <row r="156" spans="1:9" ht="28.8" x14ac:dyDescent="0.3">
      <c r="A156" s="1" t="s">
        <v>58</v>
      </c>
      <c r="B156" s="1" t="s">
        <v>14</v>
      </c>
      <c r="C156" s="1" t="s">
        <v>20</v>
      </c>
      <c r="D156" s="1" t="s">
        <v>27</v>
      </c>
      <c r="E156" s="1">
        <v>1054.56</v>
      </c>
      <c r="F156" s="1">
        <v>11</v>
      </c>
      <c r="G156" s="2">
        <v>0.1</v>
      </c>
      <c r="H156" s="3">
        <v>45669</v>
      </c>
      <c r="I156" s="1">
        <v>332.19</v>
      </c>
    </row>
    <row r="157" spans="1:9" ht="28.8" x14ac:dyDescent="0.3">
      <c r="A157" s="1" t="s">
        <v>58</v>
      </c>
      <c r="B157" s="1" t="s">
        <v>23</v>
      </c>
      <c r="C157" s="1" t="s">
        <v>24</v>
      </c>
      <c r="D157" s="1" t="s">
        <v>21</v>
      </c>
      <c r="E157" s="1">
        <v>1681.21</v>
      </c>
      <c r="F157" s="1">
        <v>5</v>
      </c>
      <c r="G157" s="2">
        <v>0.2</v>
      </c>
      <c r="H157" s="3">
        <v>45670</v>
      </c>
      <c r="I157" s="1">
        <v>336.24</v>
      </c>
    </row>
    <row r="158" spans="1:9" ht="28.8" x14ac:dyDescent="0.3">
      <c r="A158" s="1" t="s">
        <v>58</v>
      </c>
      <c r="B158" s="1" t="s">
        <v>36</v>
      </c>
      <c r="C158" s="1" t="s">
        <v>11</v>
      </c>
      <c r="D158" s="1" t="s">
        <v>15</v>
      </c>
      <c r="E158" s="1">
        <v>379.77</v>
      </c>
      <c r="F158" s="1">
        <v>9</v>
      </c>
      <c r="G158" s="2">
        <v>0.05</v>
      </c>
      <c r="H158" s="3">
        <v>45673</v>
      </c>
      <c r="I158" s="1">
        <v>180.39</v>
      </c>
    </row>
    <row r="159" spans="1:9" ht="28.8" x14ac:dyDescent="0.3">
      <c r="A159" s="1" t="s">
        <v>44</v>
      </c>
      <c r="B159" s="1" t="s">
        <v>45</v>
      </c>
      <c r="C159" s="1" t="s">
        <v>34</v>
      </c>
      <c r="D159" s="1" t="s">
        <v>15</v>
      </c>
      <c r="E159" s="1">
        <v>1076.33</v>
      </c>
      <c r="F159" s="1">
        <v>2</v>
      </c>
      <c r="G159" s="2">
        <v>0.1</v>
      </c>
      <c r="H159" s="3">
        <v>45674</v>
      </c>
      <c r="I159" s="1">
        <v>484.35</v>
      </c>
    </row>
    <row r="160" spans="1:9" ht="28.8" x14ac:dyDescent="0.3">
      <c r="A160" s="1" t="s">
        <v>44</v>
      </c>
      <c r="B160" s="1" t="s">
        <v>31</v>
      </c>
      <c r="C160" s="1" t="s">
        <v>34</v>
      </c>
      <c r="D160" s="1" t="s">
        <v>39</v>
      </c>
      <c r="E160" s="1">
        <v>1250.71</v>
      </c>
      <c r="F160" s="1">
        <v>7</v>
      </c>
      <c r="G160" s="2">
        <v>0</v>
      </c>
      <c r="H160" s="3">
        <v>45674</v>
      </c>
      <c r="I160" s="1">
        <v>562.82000000000005</v>
      </c>
    </row>
    <row r="161" spans="1:9" ht="28.8" x14ac:dyDescent="0.3">
      <c r="A161" s="1" t="s">
        <v>40</v>
      </c>
      <c r="B161" s="1" t="s">
        <v>17</v>
      </c>
      <c r="C161" s="1" t="s">
        <v>20</v>
      </c>
      <c r="D161" s="1" t="s">
        <v>15</v>
      </c>
      <c r="E161" s="1">
        <v>1118.3399999999999</v>
      </c>
      <c r="F161" s="1">
        <v>6</v>
      </c>
      <c r="G161" s="2">
        <v>0.2</v>
      </c>
      <c r="H161" s="3">
        <v>45674</v>
      </c>
      <c r="I161" s="1">
        <v>447.34</v>
      </c>
    </row>
    <row r="162" spans="1:9" ht="28.8"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ht="28.8" x14ac:dyDescent="0.3">
      <c r="A164" s="1" t="s">
        <v>22</v>
      </c>
      <c r="B164" s="1" t="s">
        <v>43</v>
      </c>
      <c r="C164" s="1" t="s">
        <v>11</v>
      </c>
      <c r="D164" s="1" t="s">
        <v>15</v>
      </c>
      <c r="E164" s="1">
        <v>585.16</v>
      </c>
      <c r="F164" s="1">
        <v>17</v>
      </c>
      <c r="G164" s="2">
        <v>0.1</v>
      </c>
      <c r="H164" s="3">
        <v>45684</v>
      </c>
      <c r="I164" s="1">
        <v>263.32</v>
      </c>
    </row>
    <row r="165" spans="1:9" ht="28.8" x14ac:dyDescent="0.3">
      <c r="A165" s="1" t="s">
        <v>22</v>
      </c>
      <c r="B165" s="1" t="s">
        <v>31</v>
      </c>
      <c r="C165" s="1" t="s">
        <v>18</v>
      </c>
      <c r="D165" s="1" t="s">
        <v>15</v>
      </c>
      <c r="E165" s="1">
        <v>1109.98</v>
      </c>
      <c r="F165" s="1">
        <v>5</v>
      </c>
      <c r="G165" s="2">
        <v>0.2</v>
      </c>
      <c r="H165" s="3">
        <v>45690</v>
      </c>
      <c r="I165" s="1">
        <v>443.99</v>
      </c>
    </row>
    <row r="166" spans="1:9" ht="28.8" x14ac:dyDescent="0.3">
      <c r="A166" s="1" t="s">
        <v>58</v>
      </c>
      <c r="B166" s="1" t="s">
        <v>45</v>
      </c>
      <c r="C166" s="1" t="s">
        <v>18</v>
      </c>
      <c r="D166" s="1" t="s">
        <v>12</v>
      </c>
      <c r="E166" s="1">
        <v>1098.08</v>
      </c>
      <c r="F166" s="1">
        <v>9</v>
      </c>
      <c r="G166" s="2">
        <v>0.1</v>
      </c>
      <c r="H166" s="3">
        <v>45692</v>
      </c>
      <c r="I166" s="1">
        <v>395.31</v>
      </c>
    </row>
    <row r="167" spans="1:9" ht="28.8" x14ac:dyDescent="0.3">
      <c r="A167" s="1" t="s">
        <v>65</v>
      </c>
      <c r="B167" s="1" t="s">
        <v>48</v>
      </c>
      <c r="C167" s="1" t="s">
        <v>11</v>
      </c>
      <c r="D167" s="1" t="s">
        <v>39</v>
      </c>
      <c r="E167" s="1">
        <v>827.25</v>
      </c>
      <c r="F167" s="1">
        <v>7</v>
      </c>
      <c r="G167" s="2">
        <v>0.1</v>
      </c>
      <c r="H167" s="3">
        <v>45693</v>
      </c>
      <c r="I167" s="1">
        <v>335.04</v>
      </c>
    </row>
    <row r="168" spans="1:9" ht="28.8" x14ac:dyDescent="0.3">
      <c r="A168" s="1" t="s">
        <v>70</v>
      </c>
      <c r="B168" s="1" t="s">
        <v>29</v>
      </c>
      <c r="C168" s="1" t="s">
        <v>34</v>
      </c>
      <c r="D168" s="1" t="s">
        <v>15</v>
      </c>
      <c r="E168" s="1">
        <v>741.88</v>
      </c>
      <c r="F168" s="1">
        <v>16</v>
      </c>
      <c r="G168" s="2">
        <v>0.1</v>
      </c>
      <c r="H168" s="3">
        <v>45695</v>
      </c>
      <c r="I168" s="1">
        <v>333.85</v>
      </c>
    </row>
    <row r="169" spans="1:9" ht="28.8" x14ac:dyDescent="0.3">
      <c r="A169" s="1" t="s">
        <v>72</v>
      </c>
      <c r="B169" s="1" t="s">
        <v>10</v>
      </c>
      <c r="C169" s="1" t="s">
        <v>18</v>
      </c>
      <c r="D169" s="1" t="s">
        <v>39</v>
      </c>
      <c r="E169" s="1">
        <v>1311.26</v>
      </c>
      <c r="F169" s="1">
        <v>6</v>
      </c>
      <c r="G169" s="2">
        <v>0.1</v>
      </c>
      <c r="H169" s="3">
        <v>45698</v>
      </c>
      <c r="I169" s="1">
        <v>531.05999999999995</v>
      </c>
    </row>
    <row r="170" spans="1:9" ht="28.8" x14ac:dyDescent="0.3">
      <c r="A170" s="1" t="s">
        <v>72</v>
      </c>
      <c r="B170" s="1" t="s">
        <v>31</v>
      </c>
      <c r="C170" s="1" t="s">
        <v>20</v>
      </c>
      <c r="D170" s="1" t="s">
        <v>39</v>
      </c>
      <c r="E170" s="1">
        <v>573.32000000000005</v>
      </c>
      <c r="F170" s="1">
        <v>19</v>
      </c>
      <c r="G170" s="2">
        <v>0.1</v>
      </c>
      <c r="H170" s="3">
        <v>45703</v>
      </c>
      <c r="I170" s="1">
        <v>232.19</v>
      </c>
    </row>
    <row r="171" spans="1:9" ht="28.8" x14ac:dyDescent="0.3">
      <c r="A171" s="1" t="s">
        <v>52</v>
      </c>
      <c r="B171" s="1" t="s">
        <v>23</v>
      </c>
      <c r="C171" s="1" t="s">
        <v>11</v>
      </c>
      <c r="D171" s="1" t="s">
        <v>21</v>
      </c>
      <c r="E171" s="1">
        <v>1115.22</v>
      </c>
      <c r="F171" s="1">
        <v>14</v>
      </c>
      <c r="G171" s="2">
        <v>0.2</v>
      </c>
      <c r="H171" s="3">
        <v>45705</v>
      </c>
      <c r="I171" s="1">
        <v>223.04</v>
      </c>
    </row>
    <row r="172" spans="1:9" ht="28.8" x14ac:dyDescent="0.3">
      <c r="A172" s="1" t="s">
        <v>13</v>
      </c>
      <c r="B172" s="1" t="s">
        <v>45</v>
      </c>
      <c r="C172" s="1" t="s">
        <v>24</v>
      </c>
      <c r="D172" s="1" t="s">
        <v>15</v>
      </c>
      <c r="E172" s="1">
        <v>845.84</v>
      </c>
      <c r="F172" s="1">
        <v>4</v>
      </c>
      <c r="G172" s="2">
        <v>0</v>
      </c>
      <c r="H172" s="3">
        <v>45707</v>
      </c>
      <c r="I172" s="1">
        <v>422.92</v>
      </c>
    </row>
    <row r="173" spans="1:9" ht="28.8" x14ac:dyDescent="0.3">
      <c r="A173" s="1" t="s">
        <v>30</v>
      </c>
      <c r="B173" s="1" t="s">
        <v>55</v>
      </c>
      <c r="C173" s="1" t="s">
        <v>11</v>
      </c>
      <c r="D173" s="1" t="s">
        <v>21</v>
      </c>
      <c r="E173" s="1">
        <v>1029.8</v>
      </c>
      <c r="F173" s="1">
        <v>3</v>
      </c>
      <c r="G173" s="2">
        <v>0</v>
      </c>
      <c r="H173" s="3">
        <v>45708</v>
      </c>
      <c r="I173" s="1">
        <v>257.45</v>
      </c>
    </row>
    <row r="174" spans="1:9" ht="28.8" x14ac:dyDescent="0.3">
      <c r="A174" s="1" t="s">
        <v>32</v>
      </c>
      <c r="B174" s="1" t="s">
        <v>31</v>
      </c>
      <c r="C174" s="1" t="s">
        <v>24</v>
      </c>
      <c r="D174" s="1" t="s">
        <v>12</v>
      </c>
      <c r="E174" s="1">
        <v>1189.83</v>
      </c>
      <c r="F174" s="1">
        <v>2</v>
      </c>
      <c r="G174" s="2">
        <v>0.2</v>
      </c>
      <c r="H174" s="3">
        <v>45709</v>
      </c>
      <c r="I174" s="1">
        <v>380.75</v>
      </c>
    </row>
    <row r="175" spans="1:9" ht="28.8" x14ac:dyDescent="0.3">
      <c r="A175" s="1" t="s">
        <v>67</v>
      </c>
      <c r="B175" s="1" t="s">
        <v>43</v>
      </c>
      <c r="C175" s="1" t="s">
        <v>20</v>
      </c>
      <c r="D175" s="1" t="s">
        <v>12</v>
      </c>
      <c r="E175" s="1">
        <v>704.28</v>
      </c>
      <c r="F175" s="1">
        <v>15</v>
      </c>
      <c r="G175" s="2">
        <v>0.2</v>
      </c>
      <c r="H175" s="3">
        <v>45712</v>
      </c>
      <c r="I175" s="1">
        <v>225.37</v>
      </c>
    </row>
    <row r="176" spans="1:9" ht="28.8" x14ac:dyDescent="0.3">
      <c r="A176" s="1" t="s">
        <v>65</v>
      </c>
      <c r="B176" s="1" t="s">
        <v>47</v>
      </c>
      <c r="C176" s="1" t="s">
        <v>34</v>
      </c>
      <c r="D176" s="1" t="s">
        <v>39</v>
      </c>
      <c r="E176" s="1">
        <v>1618.22</v>
      </c>
      <c r="F176" s="1">
        <v>12</v>
      </c>
      <c r="G176" s="2">
        <v>0.2</v>
      </c>
      <c r="H176" s="3">
        <v>45712</v>
      </c>
      <c r="I176" s="1">
        <v>582.55999999999995</v>
      </c>
    </row>
    <row r="177" spans="1:9" ht="28.8" x14ac:dyDescent="0.3">
      <c r="A177" s="1" t="s">
        <v>73</v>
      </c>
      <c r="B177" s="1" t="s">
        <v>53</v>
      </c>
      <c r="C177" s="1" t="s">
        <v>34</v>
      </c>
      <c r="D177" s="1" t="s">
        <v>12</v>
      </c>
      <c r="E177" s="1">
        <v>1014.43</v>
      </c>
      <c r="F177" s="1">
        <v>2</v>
      </c>
      <c r="G177" s="2">
        <v>0.15</v>
      </c>
      <c r="H177" s="3">
        <v>45713</v>
      </c>
      <c r="I177" s="1">
        <v>344.91</v>
      </c>
    </row>
    <row r="178" spans="1:9" ht="28.8" x14ac:dyDescent="0.3">
      <c r="A178" s="1" t="s">
        <v>75</v>
      </c>
      <c r="B178" s="1" t="s">
        <v>31</v>
      </c>
      <c r="C178" s="1" t="s">
        <v>34</v>
      </c>
      <c r="D178" s="1" t="s">
        <v>15</v>
      </c>
      <c r="E178" s="1">
        <v>826.97</v>
      </c>
      <c r="F178" s="1">
        <v>18</v>
      </c>
      <c r="G178" s="2">
        <v>0.2</v>
      </c>
      <c r="H178" s="3">
        <v>45715</v>
      </c>
      <c r="I178" s="1">
        <v>330.79</v>
      </c>
    </row>
    <row r="179" spans="1:9" ht="28.8" x14ac:dyDescent="0.3">
      <c r="A179" s="1" t="s">
        <v>16</v>
      </c>
      <c r="B179" s="1" t="s">
        <v>31</v>
      </c>
      <c r="C179" s="1" t="s">
        <v>34</v>
      </c>
      <c r="D179" s="1" t="s">
        <v>15</v>
      </c>
      <c r="E179" s="1">
        <v>1022.23</v>
      </c>
      <c r="F179" s="1">
        <v>8</v>
      </c>
      <c r="G179" s="2">
        <v>0.1</v>
      </c>
      <c r="H179" s="3">
        <v>45717</v>
      </c>
      <c r="I179" s="1">
        <v>460</v>
      </c>
    </row>
    <row r="180" spans="1:9" ht="28.8" x14ac:dyDescent="0.3">
      <c r="A180" s="1" t="s">
        <v>72</v>
      </c>
      <c r="B180" s="1" t="s">
        <v>29</v>
      </c>
      <c r="C180" s="1" t="s">
        <v>18</v>
      </c>
      <c r="D180" s="1" t="s">
        <v>12</v>
      </c>
      <c r="E180" s="1">
        <v>1099.69</v>
      </c>
      <c r="F180" s="1">
        <v>6</v>
      </c>
      <c r="G180" s="2">
        <v>0</v>
      </c>
      <c r="H180" s="3">
        <v>45718</v>
      </c>
      <c r="I180" s="1">
        <v>439.88</v>
      </c>
    </row>
    <row r="181" spans="1:9" ht="28.8" x14ac:dyDescent="0.3">
      <c r="A181" s="1" t="s">
        <v>52</v>
      </c>
      <c r="B181" s="1" t="s">
        <v>64</v>
      </c>
      <c r="C181" s="1" t="s">
        <v>24</v>
      </c>
      <c r="D181" s="1" t="s">
        <v>12</v>
      </c>
      <c r="E181" s="1">
        <v>710.52</v>
      </c>
      <c r="F181" s="1">
        <v>8</v>
      </c>
      <c r="G181" s="2">
        <v>0.1</v>
      </c>
      <c r="H181" s="3">
        <v>45721</v>
      </c>
      <c r="I181" s="1">
        <v>255.79</v>
      </c>
    </row>
    <row r="182" spans="1:9" ht="28.8" x14ac:dyDescent="0.3">
      <c r="A182" s="1" t="s">
        <v>52</v>
      </c>
      <c r="B182" s="1" t="s">
        <v>59</v>
      </c>
      <c r="C182" s="1" t="s">
        <v>24</v>
      </c>
      <c r="D182" s="1" t="s">
        <v>12</v>
      </c>
      <c r="E182" s="1">
        <v>499.18</v>
      </c>
      <c r="F182" s="1">
        <v>15</v>
      </c>
      <c r="G182" s="2">
        <v>0.2</v>
      </c>
      <c r="H182" s="3">
        <v>45724</v>
      </c>
      <c r="I182" s="1">
        <v>159.74</v>
      </c>
    </row>
    <row r="183" spans="1:9" ht="28.8" x14ac:dyDescent="0.3">
      <c r="A183" s="1" t="s">
        <v>37</v>
      </c>
      <c r="B183" s="1" t="s">
        <v>38</v>
      </c>
      <c r="C183" s="1" t="s">
        <v>20</v>
      </c>
      <c r="D183" s="1" t="s">
        <v>12</v>
      </c>
      <c r="E183" s="1">
        <v>1064.19</v>
      </c>
      <c r="F183" s="1">
        <v>18</v>
      </c>
      <c r="G183" s="2">
        <v>0.05</v>
      </c>
      <c r="H183" s="3">
        <v>45725</v>
      </c>
      <c r="I183" s="1">
        <v>404.39</v>
      </c>
    </row>
    <row r="184" spans="1:9" ht="28.8" x14ac:dyDescent="0.3">
      <c r="A184" s="1" t="s">
        <v>67</v>
      </c>
      <c r="B184" s="1" t="s">
        <v>38</v>
      </c>
      <c r="C184" s="1" t="s">
        <v>18</v>
      </c>
      <c r="D184" s="1" t="s">
        <v>39</v>
      </c>
      <c r="E184" s="1">
        <v>438.76</v>
      </c>
      <c r="F184" s="1">
        <v>18</v>
      </c>
      <c r="G184" s="2">
        <v>0.05</v>
      </c>
      <c r="H184" s="3">
        <v>45726</v>
      </c>
      <c r="I184" s="1">
        <v>187.57</v>
      </c>
    </row>
    <row r="185" spans="1:9" ht="28.8" x14ac:dyDescent="0.3">
      <c r="A185" s="1" t="s">
        <v>41</v>
      </c>
      <c r="B185" s="1" t="s">
        <v>55</v>
      </c>
      <c r="C185" s="1" t="s">
        <v>11</v>
      </c>
      <c r="D185" s="1" t="s">
        <v>15</v>
      </c>
      <c r="E185" s="1">
        <v>864.98</v>
      </c>
      <c r="F185" s="1">
        <v>2</v>
      </c>
      <c r="G185" s="2">
        <v>0.05</v>
      </c>
      <c r="H185" s="3">
        <v>45727</v>
      </c>
      <c r="I185" s="1">
        <v>410.87</v>
      </c>
    </row>
    <row r="186" spans="1:9" ht="28.8" x14ac:dyDescent="0.3">
      <c r="A186" s="1" t="s">
        <v>57</v>
      </c>
      <c r="B186" s="1" t="s">
        <v>55</v>
      </c>
      <c r="C186" s="1" t="s">
        <v>11</v>
      </c>
      <c r="D186" s="1" t="s">
        <v>27</v>
      </c>
      <c r="E186" s="1">
        <v>984.93</v>
      </c>
      <c r="F186" s="1">
        <v>14</v>
      </c>
      <c r="G186" s="2">
        <v>0.2</v>
      </c>
      <c r="H186" s="3">
        <v>45733</v>
      </c>
      <c r="I186" s="1">
        <v>275.77999999999997</v>
      </c>
    </row>
    <row r="187" spans="1:9" ht="28.8" x14ac:dyDescent="0.3">
      <c r="A187" s="1" t="s">
        <v>25</v>
      </c>
      <c r="B187" s="1" t="s">
        <v>55</v>
      </c>
      <c r="C187" s="1" t="s">
        <v>11</v>
      </c>
      <c r="D187" s="1" t="s">
        <v>15</v>
      </c>
      <c r="E187" s="1">
        <v>1493.49</v>
      </c>
      <c r="F187" s="1">
        <v>18</v>
      </c>
      <c r="G187" s="2">
        <v>0</v>
      </c>
      <c r="H187" s="3">
        <v>45734</v>
      </c>
      <c r="I187" s="1">
        <v>746.74</v>
      </c>
    </row>
    <row r="188" spans="1:9" ht="28.8" x14ac:dyDescent="0.3">
      <c r="A188" s="1" t="s">
        <v>32</v>
      </c>
      <c r="B188" s="1" t="s">
        <v>53</v>
      </c>
      <c r="C188" s="1" t="s">
        <v>20</v>
      </c>
      <c r="D188" s="1" t="s">
        <v>15</v>
      </c>
      <c r="E188" s="1">
        <v>689.43</v>
      </c>
      <c r="F188" s="1">
        <v>9</v>
      </c>
      <c r="G188" s="2">
        <v>0.1</v>
      </c>
      <c r="H188" s="3">
        <v>45736</v>
      </c>
      <c r="I188" s="1">
        <v>310.24</v>
      </c>
    </row>
    <row r="189" spans="1:9" ht="28.8" x14ac:dyDescent="0.3">
      <c r="A189" s="1" t="s">
        <v>40</v>
      </c>
      <c r="B189" s="1" t="s">
        <v>59</v>
      </c>
      <c r="C189" s="1" t="s">
        <v>20</v>
      </c>
      <c r="D189" s="1" t="s">
        <v>15</v>
      </c>
      <c r="E189" s="1">
        <v>682.24</v>
      </c>
      <c r="F189" s="1">
        <v>1</v>
      </c>
      <c r="G189" s="2">
        <v>0</v>
      </c>
      <c r="H189" s="3">
        <v>45738</v>
      </c>
      <c r="I189" s="1">
        <v>341.12</v>
      </c>
    </row>
    <row r="190" spans="1:9" ht="28.8" x14ac:dyDescent="0.3">
      <c r="A190" s="1" t="s">
        <v>41</v>
      </c>
      <c r="B190" s="1" t="s">
        <v>26</v>
      </c>
      <c r="C190" s="1" t="s">
        <v>24</v>
      </c>
      <c r="D190" s="1" t="s">
        <v>21</v>
      </c>
      <c r="E190" s="1">
        <v>458.54</v>
      </c>
      <c r="F190" s="1">
        <v>15</v>
      </c>
      <c r="G190" s="2">
        <v>0.2</v>
      </c>
      <c r="H190" s="3">
        <v>45741</v>
      </c>
      <c r="I190" s="1">
        <v>91.71</v>
      </c>
    </row>
    <row r="191" spans="1:9" ht="28.8" x14ac:dyDescent="0.3">
      <c r="A191" s="1" t="s">
        <v>32</v>
      </c>
      <c r="B191" s="1" t="s">
        <v>26</v>
      </c>
      <c r="C191" s="1" t="s">
        <v>20</v>
      </c>
      <c r="D191" s="1" t="s">
        <v>27</v>
      </c>
      <c r="E191" s="1">
        <v>1184.25</v>
      </c>
      <c r="F191" s="1">
        <v>11</v>
      </c>
      <c r="G191" s="2">
        <v>0.2</v>
      </c>
      <c r="H191" s="3">
        <v>45742</v>
      </c>
      <c r="I191" s="1">
        <v>331.59</v>
      </c>
    </row>
    <row r="192" spans="1:9" ht="28.8" x14ac:dyDescent="0.3">
      <c r="A192" s="1" t="s">
        <v>25</v>
      </c>
      <c r="B192" s="1" t="s">
        <v>10</v>
      </c>
      <c r="C192" s="1" t="s">
        <v>20</v>
      </c>
      <c r="D192" s="1" t="s">
        <v>15</v>
      </c>
      <c r="E192" s="1">
        <v>762.14</v>
      </c>
      <c r="F192" s="1">
        <v>9</v>
      </c>
      <c r="G192" s="2">
        <v>0</v>
      </c>
      <c r="H192" s="3">
        <v>45743</v>
      </c>
      <c r="I192" s="1">
        <v>381.07</v>
      </c>
    </row>
    <row r="193" spans="1:9" ht="28.8" x14ac:dyDescent="0.3">
      <c r="A193" s="1" t="s">
        <v>22</v>
      </c>
      <c r="B193" s="1" t="s">
        <v>53</v>
      </c>
      <c r="C193" s="1" t="s">
        <v>24</v>
      </c>
      <c r="D193" s="1" t="s">
        <v>12</v>
      </c>
      <c r="E193" s="1">
        <v>750.71</v>
      </c>
      <c r="F193" s="1">
        <v>10</v>
      </c>
      <c r="G193" s="2">
        <v>0.15</v>
      </c>
      <c r="H193" s="3">
        <v>45743</v>
      </c>
      <c r="I193" s="1">
        <v>255.24</v>
      </c>
    </row>
    <row r="194" spans="1:9" ht="28.8" x14ac:dyDescent="0.3">
      <c r="A194" s="1" t="s">
        <v>75</v>
      </c>
      <c r="B194" s="1" t="s">
        <v>71</v>
      </c>
      <c r="C194" s="1" t="s">
        <v>34</v>
      </c>
      <c r="D194" s="1" t="s">
        <v>15</v>
      </c>
      <c r="E194" s="1">
        <v>1456.94</v>
      </c>
      <c r="F194" s="1">
        <v>14</v>
      </c>
      <c r="G194" s="2">
        <v>0.05</v>
      </c>
      <c r="H194" s="3">
        <v>45745</v>
      </c>
      <c r="I194" s="1">
        <v>692.05</v>
      </c>
    </row>
    <row r="195" spans="1:9" ht="28.8" x14ac:dyDescent="0.3">
      <c r="A195" s="1" t="s">
        <v>44</v>
      </c>
      <c r="B195" s="1" t="s">
        <v>61</v>
      </c>
      <c r="C195" s="1" t="s">
        <v>18</v>
      </c>
      <c r="D195" s="1" t="s">
        <v>27</v>
      </c>
      <c r="E195" s="1">
        <v>1093.3800000000001</v>
      </c>
      <c r="F195" s="1">
        <v>17</v>
      </c>
      <c r="G195" s="2">
        <v>0.1</v>
      </c>
      <c r="H195" s="3">
        <v>45745</v>
      </c>
      <c r="I195" s="1">
        <v>344.41</v>
      </c>
    </row>
    <row r="196" spans="1:9" ht="28.8" x14ac:dyDescent="0.3">
      <c r="A196" s="1" t="s">
        <v>37</v>
      </c>
      <c r="B196" s="1" t="s">
        <v>43</v>
      </c>
      <c r="C196" s="1" t="s">
        <v>11</v>
      </c>
      <c r="D196" s="1" t="s">
        <v>15</v>
      </c>
      <c r="E196" s="1">
        <v>934.27</v>
      </c>
      <c r="F196" s="1">
        <v>8</v>
      </c>
      <c r="G196" s="2">
        <v>0.15</v>
      </c>
      <c r="H196" s="3">
        <v>45746</v>
      </c>
      <c r="I196" s="1">
        <v>397.06</v>
      </c>
    </row>
    <row r="197" spans="1:9" ht="28.8" x14ac:dyDescent="0.3">
      <c r="A197" s="1" t="s">
        <v>70</v>
      </c>
      <c r="B197" s="1" t="s">
        <v>36</v>
      </c>
      <c r="C197" s="1" t="s">
        <v>34</v>
      </c>
      <c r="D197" s="1" t="s">
        <v>15</v>
      </c>
      <c r="E197" s="1">
        <v>1465.35</v>
      </c>
      <c r="F197" s="1">
        <v>8</v>
      </c>
      <c r="G197" s="2">
        <v>0.2</v>
      </c>
      <c r="H197" s="3">
        <v>45746</v>
      </c>
      <c r="I197" s="1">
        <v>586.14</v>
      </c>
    </row>
    <row r="198" spans="1:9" ht="28.8" x14ac:dyDescent="0.3">
      <c r="A198" s="1" t="s">
        <v>52</v>
      </c>
      <c r="B198" s="1" t="s">
        <v>14</v>
      </c>
      <c r="C198" s="1" t="s">
        <v>20</v>
      </c>
      <c r="D198" s="1" t="s">
        <v>39</v>
      </c>
      <c r="E198" s="1">
        <v>740.8</v>
      </c>
      <c r="F198" s="1">
        <v>3</v>
      </c>
      <c r="G198" s="2">
        <v>0</v>
      </c>
      <c r="H198" s="3">
        <v>45749</v>
      </c>
      <c r="I198" s="1">
        <v>333.36</v>
      </c>
    </row>
    <row r="199" spans="1:9" ht="28.8" x14ac:dyDescent="0.3">
      <c r="A199" s="1" t="s">
        <v>58</v>
      </c>
      <c r="B199" s="1" t="s">
        <v>43</v>
      </c>
      <c r="C199" s="1" t="s">
        <v>11</v>
      </c>
      <c r="D199" s="1" t="s">
        <v>39</v>
      </c>
      <c r="E199" s="1">
        <v>545.44000000000005</v>
      </c>
      <c r="F199" s="1">
        <v>17</v>
      </c>
      <c r="G199" s="2">
        <v>0</v>
      </c>
      <c r="H199" s="3">
        <v>45752</v>
      </c>
      <c r="I199" s="1">
        <v>245.45</v>
      </c>
    </row>
    <row r="200" spans="1:9" ht="28.8" x14ac:dyDescent="0.3">
      <c r="A200" s="1" t="s">
        <v>35</v>
      </c>
      <c r="B200" s="1" t="s">
        <v>36</v>
      </c>
      <c r="C200" s="1" t="s">
        <v>18</v>
      </c>
      <c r="D200" s="1" t="s">
        <v>12</v>
      </c>
      <c r="E200" s="1">
        <v>997.61</v>
      </c>
      <c r="F200" s="1">
        <v>8</v>
      </c>
      <c r="G200" s="2">
        <v>0.05</v>
      </c>
      <c r="H200" s="3">
        <v>45752</v>
      </c>
      <c r="I200" s="1">
        <v>379.09</v>
      </c>
    </row>
    <row r="201" spans="1:9" ht="28.8" x14ac:dyDescent="0.3">
      <c r="A201" s="1" t="s">
        <v>60</v>
      </c>
      <c r="B201" s="1" t="s">
        <v>36</v>
      </c>
      <c r="C201" s="1" t="s">
        <v>20</v>
      </c>
      <c r="D201" s="1" t="s">
        <v>15</v>
      </c>
      <c r="E201" s="1">
        <v>928.32</v>
      </c>
      <c r="F201" s="1">
        <v>2</v>
      </c>
      <c r="G201" s="2">
        <v>0.05</v>
      </c>
      <c r="H201" s="3">
        <v>45754</v>
      </c>
      <c r="I201" s="1">
        <v>440.95</v>
      </c>
    </row>
  </sheetData>
  <mergeCells count="2">
    <mergeCell ref="M2:N2"/>
    <mergeCell ref="Q2:R2"/>
  </mergeCells>
  <conditionalFormatting sqref="B1:B201">
    <cfRule type="top10" dxfId="19" priority="1" rank="10"/>
    <cfRule type="top10" dxfId="18" priority="3" rank="10"/>
    <cfRule type="top10" dxfId="17" priority="5" rank="10"/>
  </conditionalFormatting>
  <conditionalFormatting sqref="B2:B201">
    <cfRule type="top10" dxfId="16" priority="4" rank="10"/>
  </conditionalFormatting>
  <conditionalFormatting sqref="C3:C8">
    <cfRule type="top10" dxfId="15" priority="2" percent="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DFEE-AE41-4F8C-8E85-C0C882BC03B1}">
  <dimension ref="A1:N201"/>
  <sheetViews>
    <sheetView topLeftCell="A10" zoomScale="95" zoomScaleNormal="95" workbookViewId="0">
      <selection activeCell="N7" sqref="N7"/>
    </sheetView>
  </sheetViews>
  <sheetFormatPr defaultRowHeight="14.4" x14ac:dyDescent="0.3"/>
  <cols>
    <col min="8" max="8" width="13.33203125" bestFit="1" customWidth="1"/>
    <col min="12" max="12" width="12.5546875" bestFit="1" customWidth="1"/>
    <col min="13" max="13" width="11.6640625" bestFit="1" customWidth="1"/>
    <col min="14" max="14" width="12.6640625" bestFit="1" customWidth="1"/>
    <col min="15" max="15" width="11.6640625" bestFit="1" customWidth="1"/>
  </cols>
  <sheetData>
    <row r="1" spans="1:14" ht="28.8" x14ac:dyDescent="0.3">
      <c r="A1" s="13" t="s">
        <v>0</v>
      </c>
      <c r="B1" s="13" t="s">
        <v>1</v>
      </c>
      <c r="C1" s="13" t="s">
        <v>2</v>
      </c>
      <c r="D1" s="13" t="s">
        <v>3</v>
      </c>
      <c r="E1" s="13" t="s">
        <v>4</v>
      </c>
      <c r="F1" s="13" t="s">
        <v>5</v>
      </c>
      <c r="G1" s="14" t="s">
        <v>6</v>
      </c>
      <c r="H1" s="15" t="s">
        <v>7</v>
      </c>
      <c r="I1" s="13" t="s">
        <v>8</v>
      </c>
      <c r="J1" s="19" t="s">
        <v>124</v>
      </c>
    </row>
    <row r="2" spans="1:14" ht="28.8" x14ac:dyDescent="0.3">
      <c r="A2" s="1" t="s">
        <v>9</v>
      </c>
      <c r="B2" s="1" t="s">
        <v>10</v>
      </c>
      <c r="C2" s="1" t="s">
        <v>11</v>
      </c>
      <c r="D2" s="1" t="s">
        <v>12</v>
      </c>
      <c r="E2" s="1">
        <v>1036.0899999999999</v>
      </c>
      <c r="F2" s="1">
        <v>4</v>
      </c>
      <c r="G2" s="2">
        <v>0.2</v>
      </c>
      <c r="H2" s="3">
        <v>45392</v>
      </c>
      <c r="I2" s="1">
        <v>331.55</v>
      </c>
      <c r="J2" s="8" t="str">
        <f>TEXT(H2,"mmm-yyy")</f>
        <v>Apr-2024</v>
      </c>
    </row>
    <row r="3" spans="1:14" ht="28.8" x14ac:dyDescent="0.3">
      <c r="A3" s="1" t="s">
        <v>13</v>
      </c>
      <c r="B3" s="1" t="s">
        <v>14</v>
      </c>
      <c r="C3" s="1" t="s">
        <v>11</v>
      </c>
      <c r="D3" s="1" t="s">
        <v>15</v>
      </c>
      <c r="E3" s="1">
        <v>1101.28</v>
      </c>
      <c r="F3" s="1">
        <v>3</v>
      </c>
      <c r="G3" s="2">
        <v>0.2</v>
      </c>
      <c r="H3" s="3">
        <v>45393</v>
      </c>
      <c r="I3" s="1">
        <v>440.51</v>
      </c>
      <c r="J3" s="8" t="str">
        <f t="shared" ref="J3:J66" si="0">TEXT(H3,"mmm-yyy")</f>
        <v>Apr-2024</v>
      </c>
    </row>
    <row r="4" spans="1:14" ht="28.8" x14ac:dyDescent="0.3">
      <c r="A4" s="1" t="s">
        <v>16</v>
      </c>
      <c r="B4" s="1" t="s">
        <v>17</v>
      </c>
      <c r="C4" s="1" t="s">
        <v>18</v>
      </c>
      <c r="D4" s="1" t="s">
        <v>12</v>
      </c>
      <c r="E4" s="1">
        <v>713.34</v>
      </c>
      <c r="F4" s="1">
        <v>17</v>
      </c>
      <c r="G4" s="2">
        <v>0</v>
      </c>
      <c r="H4" s="3">
        <v>45396</v>
      </c>
      <c r="I4" s="1">
        <v>285.33999999999997</v>
      </c>
      <c r="J4" s="8" t="str">
        <f t="shared" si="0"/>
        <v>Apr-2024</v>
      </c>
    </row>
    <row r="5" spans="1:14" ht="28.8" x14ac:dyDescent="0.3">
      <c r="A5" s="1" t="s">
        <v>19</v>
      </c>
      <c r="B5" s="1" t="s">
        <v>14</v>
      </c>
      <c r="C5" s="1" t="s">
        <v>20</v>
      </c>
      <c r="D5" s="1" t="s">
        <v>21</v>
      </c>
      <c r="E5" s="1">
        <v>760.93</v>
      </c>
      <c r="F5" s="1">
        <v>4</v>
      </c>
      <c r="G5" s="2">
        <v>0.15</v>
      </c>
      <c r="H5" s="3">
        <v>45396</v>
      </c>
      <c r="I5" s="1">
        <v>161.69999999999999</v>
      </c>
      <c r="J5" s="8" t="str">
        <f t="shared" si="0"/>
        <v>Apr-2024</v>
      </c>
    </row>
    <row r="6" spans="1:14" ht="28.8" x14ac:dyDescent="0.3">
      <c r="A6" s="1" t="s">
        <v>22</v>
      </c>
      <c r="B6" s="1" t="s">
        <v>23</v>
      </c>
      <c r="C6" s="1" t="s">
        <v>24</v>
      </c>
      <c r="D6" s="1" t="s">
        <v>12</v>
      </c>
      <c r="E6" s="1">
        <v>847</v>
      </c>
      <c r="F6" s="1">
        <v>12</v>
      </c>
      <c r="G6" s="2">
        <v>0.2</v>
      </c>
      <c r="H6" s="3">
        <v>45397</v>
      </c>
      <c r="I6" s="1">
        <v>271.04000000000002</v>
      </c>
      <c r="J6" s="8" t="str">
        <f t="shared" si="0"/>
        <v>Apr-2024</v>
      </c>
      <c r="L6" s="22" t="s">
        <v>125</v>
      </c>
      <c r="M6" s="8" t="s">
        <v>140</v>
      </c>
      <c r="N6" s="8" t="s">
        <v>141</v>
      </c>
    </row>
    <row r="7" spans="1:14" ht="28.8" x14ac:dyDescent="0.3">
      <c r="A7" s="1" t="s">
        <v>25</v>
      </c>
      <c r="B7" s="1" t="s">
        <v>26</v>
      </c>
      <c r="C7" s="1" t="s">
        <v>24</v>
      </c>
      <c r="D7" s="1" t="s">
        <v>27</v>
      </c>
      <c r="E7" s="1">
        <v>965.64</v>
      </c>
      <c r="F7" s="1">
        <v>8</v>
      </c>
      <c r="G7" s="2">
        <v>0.1</v>
      </c>
      <c r="H7" s="3">
        <v>45398</v>
      </c>
      <c r="I7" s="1">
        <v>304.18</v>
      </c>
      <c r="J7" s="8" t="str">
        <f t="shared" si="0"/>
        <v>Apr-2024</v>
      </c>
      <c r="L7" s="8" t="s">
        <v>127</v>
      </c>
      <c r="M7" s="8">
        <v>19029.96</v>
      </c>
      <c r="N7" s="10">
        <v>9.7480680036488493E-2</v>
      </c>
    </row>
    <row r="8" spans="1:14" ht="28.8" x14ac:dyDescent="0.3">
      <c r="A8" s="1" t="s">
        <v>28</v>
      </c>
      <c r="B8" s="1" t="s">
        <v>29</v>
      </c>
      <c r="C8" s="1" t="s">
        <v>11</v>
      </c>
      <c r="D8" s="1" t="s">
        <v>21</v>
      </c>
      <c r="E8" s="1">
        <v>1317.53</v>
      </c>
      <c r="F8" s="1">
        <v>12</v>
      </c>
      <c r="G8" s="2">
        <v>0.05</v>
      </c>
      <c r="H8" s="3">
        <v>45398</v>
      </c>
      <c r="I8" s="1">
        <v>312.91000000000003</v>
      </c>
      <c r="J8" s="8" t="str">
        <f t="shared" si="0"/>
        <v>Apr-2024</v>
      </c>
      <c r="L8" s="8" t="s">
        <v>128</v>
      </c>
      <c r="M8" s="8">
        <v>3212.17</v>
      </c>
      <c r="N8" s="10">
        <v>1.6454291863609131E-2</v>
      </c>
    </row>
    <row r="9" spans="1:14" ht="28.8" x14ac:dyDescent="0.3">
      <c r="A9" s="1" t="s">
        <v>30</v>
      </c>
      <c r="B9" s="1" t="s">
        <v>31</v>
      </c>
      <c r="C9" s="1" t="s">
        <v>18</v>
      </c>
      <c r="D9" s="1" t="s">
        <v>27</v>
      </c>
      <c r="E9" s="1">
        <v>1074.47</v>
      </c>
      <c r="F9" s="1">
        <v>6</v>
      </c>
      <c r="G9" s="2">
        <v>0.2</v>
      </c>
      <c r="H9" s="3">
        <v>45401</v>
      </c>
      <c r="I9" s="1">
        <v>300.85000000000002</v>
      </c>
      <c r="J9" s="8" t="str">
        <f t="shared" si="0"/>
        <v>Apr-2024</v>
      </c>
      <c r="L9" s="8" t="s">
        <v>129</v>
      </c>
      <c r="M9" s="8">
        <v>10091.699999999999</v>
      </c>
      <c r="N9" s="10">
        <v>5.1694579427609452E-2</v>
      </c>
    </row>
    <row r="10" spans="1:14" ht="28.8" x14ac:dyDescent="0.3">
      <c r="A10" s="1" t="s">
        <v>32</v>
      </c>
      <c r="B10" s="1" t="s">
        <v>33</v>
      </c>
      <c r="C10" s="1" t="s">
        <v>34</v>
      </c>
      <c r="D10" s="1" t="s">
        <v>12</v>
      </c>
      <c r="E10" s="1">
        <v>501.54</v>
      </c>
      <c r="F10" s="1">
        <v>11</v>
      </c>
      <c r="G10" s="2">
        <v>0.05</v>
      </c>
      <c r="H10" s="3">
        <v>45401</v>
      </c>
      <c r="I10" s="1">
        <v>190.59</v>
      </c>
      <c r="J10" s="8" t="str">
        <f t="shared" si="0"/>
        <v>Apr-2024</v>
      </c>
      <c r="L10" s="8" t="s">
        <v>130</v>
      </c>
      <c r="M10" s="8">
        <v>11120.04</v>
      </c>
      <c r="N10" s="10">
        <v>5.6962235403172343E-2</v>
      </c>
    </row>
    <row r="11" spans="1:14" ht="28.8" x14ac:dyDescent="0.3">
      <c r="A11" s="1" t="s">
        <v>35</v>
      </c>
      <c r="B11" s="1" t="s">
        <v>36</v>
      </c>
      <c r="C11" s="1" t="s">
        <v>34</v>
      </c>
      <c r="D11" s="1" t="s">
        <v>15</v>
      </c>
      <c r="E11" s="1">
        <v>737.31</v>
      </c>
      <c r="F11" s="1">
        <v>2</v>
      </c>
      <c r="G11" s="2">
        <v>0.05</v>
      </c>
      <c r="H11" s="3">
        <v>45401</v>
      </c>
      <c r="I11" s="1">
        <v>350.22</v>
      </c>
      <c r="J11" s="8" t="str">
        <f t="shared" si="0"/>
        <v>Apr-2024</v>
      </c>
      <c r="L11" s="8" t="s">
        <v>131</v>
      </c>
      <c r="M11" s="8">
        <v>14006.359999999999</v>
      </c>
      <c r="N11" s="10">
        <v>7.1747365608538893E-2</v>
      </c>
    </row>
    <row r="12" spans="1:14" ht="28.8" x14ac:dyDescent="0.3">
      <c r="A12" s="1" t="s">
        <v>37</v>
      </c>
      <c r="B12" s="1" t="s">
        <v>38</v>
      </c>
      <c r="C12" s="1" t="s">
        <v>11</v>
      </c>
      <c r="D12" s="1" t="s">
        <v>39</v>
      </c>
      <c r="E12" s="1">
        <v>1572.82</v>
      </c>
      <c r="F12" s="1">
        <v>6</v>
      </c>
      <c r="G12" s="2">
        <v>0.05</v>
      </c>
      <c r="H12" s="3">
        <v>45402</v>
      </c>
      <c r="I12" s="1">
        <v>672.38</v>
      </c>
      <c r="J12" s="8" t="str">
        <f t="shared" si="0"/>
        <v>Apr-2024</v>
      </c>
      <c r="L12" s="8" t="s">
        <v>132</v>
      </c>
      <c r="M12" s="8">
        <v>14914.650000000001</v>
      </c>
      <c r="N12" s="10">
        <v>7.6400067288959789E-2</v>
      </c>
    </row>
    <row r="13" spans="1:14" ht="28.8" x14ac:dyDescent="0.3">
      <c r="A13" s="1" t="s">
        <v>37</v>
      </c>
      <c r="B13" s="1" t="s">
        <v>36</v>
      </c>
      <c r="C13" s="1" t="s">
        <v>34</v>
      </c>
      <c r="D13" s="1" t="s">
        <v>12</v>
      </c>
      <c r="E13" s="1">
        <v>1343.13</v>
      </c>
      <c r="F13" s="1">
        <v>14</v>
      </c>
      <c r="G13" s="2">
        <v>0.15</v>
      </c>
      <c r="H13" s="3">
        <v>45404</v>
      </c>
      <c r="I13" s="1">
        <v>456.66</v>
      </c>
      <c r="J13" s="8" t="str">
        <f t="shared" si="0"/>
        <v>Apr-2024</v>
      </c>
      <c r="L13" s="8" t="s">
        <v>133</v>
      </c>
      <c r="M13" s="8">
        <v>11609.039999999999</v>
      </c>
      <c r="N13" s="10">
        <v>5.9467130449606637E-2</v>
      </c>
    </row>
    <row r="14" spans="1:14" ht="28.8" x14ac:dyDescent="0.3">
      <c r="A14" s="1" t="s">
        <v>25</v>
      </c>
      <c r="B14" s="1" t="s">
        <v>26</v>
      </c>
      <c r="C14" s="1" t="s">
        <v>34</v>
      </c>
      <c r="D14" s="1" t="s">
        <v>12</v>
      </c>
      <c r="E14" s="1">
        <v>1191.58</v>
      </c>
      <c r="F14" s="1">
        <v>14</v>
      </c>
      <c r="G14" s="2">
        <v>0.05</v>
      </c>
      <c r="H14" s="3">
        <v>45406</v>
      </c>
      <c r="I14" s="1">
        <v>452.8</v>
      </c>
      <c r="J14" s="8" t="str">
        <f t="shared" si="0"/>
        <v>Apr-2024</v>
      </c>
      <c r="L14" s="8" t="s">
        <v>134</v>
      </c>
      <c r="M14" s="8">
        <v>20187.509999999998</v>
      </c>
      <c r="N14" s="10">
        <v>0.10341021226757238</v>
      </c>
    </row>
    <row r="15" spans="1:14" ht="28.8" x14ac:dyDescent="0.3">
      <c r="A15" s="1" t="s">
        <v>40</v>
      </c>
      <c r="B15" s="1" t="s">
        <v>14</v>
      </c>
      <c r="C15" s="1" t="s">
        <v>11</v>
      </c>
      <c r="D15" s="1" t="s">
        <v>27</v>
      </c>
      <c r="E15" s="1">
        <v>822.28</v>
      </c>
      <c r="F15" s="1">
        <v>7</v>
      </c>
      <c r="G15" s="2">
        <v>0.05</v>
      </c>
      <c r="H15" s="3">
        <v>45406</v>
      </c>
      <c r="I15" s="1">
        <v>273.41000000000003</v>
      </c>
      <c r="J15" s="8" t="str">
        <f t="shared" si="0"/>
        <v>Apr-2024</v>
      </c>
      <c r="L15" s="8" t="s">
        <v>135</v>
      </c>
      <c r="M15" s="8">
        <v>17655.219999999998</v>
      </c>
      <c r="N15" s="10">
        <v>9.0438595340915695E-2</v>
      </c>
    </row>
    <row r="16" spans="1:14" ht="28.8" x14ac:dyDescent="0.3">
      <c r="A16" s="1" t="s">
        <v>41</v>
      </c>
      <c r="B16" s="1" t="s">
        <v>42</v>
      </c>
      <c r="C16" s="1" t="s">
        <v>24</v>
      </c>
      <c r="D16" s="1" t="s">
        <v>27</v>
      </c>
      <c r="E16" s="1">
        <v>521.66999999999996</v>
      </c>
      <c r="F16" s="1">
        <v>15</v>
      </c>
      <c r="G16" s="2">
        <v>0.15</v>
      </c>
      <c r="H16" s="3">
        <v>45409</v>
      </c>
      <c r="I16" s="1">
        <v>155.19999999999999</v>
      </c>
      <c r="J16" s="8" t="str">
        <f t="shared" si="0"/>
        <v>Apr-2024</v>
      </c>
      <c r="L16" s="8" t="s">
        <v>136</v>
      </c>
      <c r="M16" s="8">
        <v>18507.339999999997</v>
      </c>
      <c r="N16" s="10">
        <v>9.4803567052505866E-2</v>
      </c>
    </row>
    <row r="17" spans="1:14" ht="28.8" x14ac:dyDescent="0.3">
      <c r="A17" s="1" t="s">
        <v>19</v>
      </c>
      <c r="B17" s="1" t="s">
        <v>43</v>
      </c>
      <c r="C17" s="1" t="s">
        <v>20</v>
      </c>
      <c r="D17" s="1" t="s">
        <v>21</v>
      </c>
      <c r="E17" s="1">
        <v>1502.93</v>
      </c>
      <c r="F17" s="1">
        <v>14</v>
      </c>
      <c r="G17" s="2">
        <v>0.2</v>
      </c>
      <c r="H17" s="3">
        <v>45410</v>
      </c>
      <c r="I17" s="1">
        <v>300.58999999999997</v>
      </c>
      <c r="J17" s="8" t="str">
        <f t="shared" si="0"/>
        <v>Apr-2024</v>
      </c>
      <c r="L17" s="8" t="s">
        <v>137</v>
      </c>
      <c r="M17" s="8">
        <v>20135.030000000002</v>
      </c>
      <c r="N17" s="10">
        <v>0.103141384267497</v>
      </c>
    </row>
    <row r="18" spans="1:14" ht="28.8" x14ac:dyDescent="0.3">
      <c r="A18" s="1" t="s">
        <v>44</v>
      </c>
      <c r="B18" s="1" t="s">
        <v>14</v>
      </c>
      <c r="C18" s="1" t="s">
        <v>20</v>
      </c>
      <c r="D18" s="1" t="s">
        <v>12</v>
      </c>
      <c r="E18" s="1">
        <v>877.58</v>
      </c>
      <c r="F18" s="1">
        <v>10</v>
      </c>
      <c r="G18" s="2">
        <v>0.15</v>
      </c>
      <c r="H18" s="3">
        <v>45411</v>
      </c>
      <c r="I18" s="1">
        <v>298.38</v>
      </c>
      <c r="J18" s="8" t="str">
        <f t="shared" si="0"/>
        <v>Apr-2024</v>
      </c>
      <c r="L18" s="8" t="s">
        <v>138</v>
      </c>
      <c r="M18" s="8">
        <v>14215.240000000002</v>
      </c>
      <c r="N18" s="10">
        <v>7.2817350224692684E-2</v>
      </c>
    </row>
    <row r="19" spans="1:14" ht="28.8" x14ac:dyDescent="0.3">
      <c r="A19" s="1" t="s">
        <v>28</v>
      </c>
      <c r="B19" s="1" t="s">
        <v>45</v>
      </c>
      <c r="C19" s="1" t="s">
        <v>11</v>
      </c>
      <c r="D19" s="1" t="s">
        <v>12</v>
      </c>
      <c r="E19" s="1">
        <v>636.70000000000005</v>
      </c>
      <c r="F19" s="1">
        <v>4</v>
      </c>
      <c r="G19" s="2">
        <v>0.2</v>
      </c>
      <c r="H19" s="3">
        <v>45411</v>
      </c>
      <c r="I19" s="1">
        <v>203.74</v>
      </c>
      <c r="J19" s="8" t="str">
        <f t="shared" si="0"/>
        <v>Apr-2024</v>
      </c>
      <c r="L19" s="8" t="s">
        <v>139</v>
      </c>
      <c r="M19" s="8">
        <v>20533.499999999996</v>
      </c>
      <c r="N19" s="10">
        <v>0.10518254076883168</v>
      </c>
    </row>
    <row r="20" spans="1:14" ht="28.8" x14ac:dyDescent="0.3">
      <c r="A20" s="1" t="s">
        <v>46</v>
      </c>
      <c r="B20" s="1" t="s">
        <v>47</v>
      </c>
      <c r="C20" s="1" t="s">
        <v>11</v>
      </c>
      <c r="D20" s="1" t="s">
        <v>12</v>
      </c>
      <c r="E20" s="1">
        <v>1506.14</v>
      </c>
      <c r="F20" s="1">
        <v>13</v>
      </c>
      <c r="G20" s="2">
        <v>0.2</v>
      </c>
      <c r="H20" s="3">
        <v>45412</v>
      </c>
      <c r="I20" s="1">
        <v>481.96</v>
      </c>
      <c r="J20" s="8" t="str">
        <f t="shared" si="0"/>
        <v>Apr-2024</v>
      </c>
      <c r="L20" s="8" t="s">
        <v>126</v>
      </c>
      <c r="M20" s="8">
        <v>195217.75999999998</v>
      </c>
      <c r="N20" s="23">
        <v>1</v>
      </c>
    </row>
    <row r="21" spans="1:14" ht="28.8" x14ac:dyDescent="0.3">
      <c r="A21" s="1" t="s">
        <v>30</v>
      </c>
      <c r="B21" s="1" t="s">
        <v>31</v>
      </c>
      <c r="C21" s="1" t="s">
        <v>34</v>
      </c>
      <c r="D21" s="1" t="s">
        <v>21</v>
      </c>
      <c r="E21" s="1">
        <v>645.02</v>
      </c>
      <c r="F21" s="1">
        <v>4</v>
      </c>
      <c r="G21" s="2">
        <v>0</v>
      </c>
      <c r="H21" s="3">
        <v>45414</v>
      </c>
      <c r="I21" s="1">
        <v>161.26</v>
      </c>
      <c r="J21" s="8" t="str">
        <f t="shared" si="0"/>
        <v>May-2024</v>
      </c>
    </row>
    <row r="22" spans="1:14" x14ac:dyDescent="0.3">
      <c r="A22" s="1" t="s">
        <v>25</v>
      </c>
      <c r="B22" s="1" t="s">
        <v>48</v>
      </c>
      <c r="C22" s="1" t="s">
        <v>20</v>
      </c>
      <c r="D22" s="1" t="s">
        <v>15</v>
      </c>
      <c r="E22" s="1">
        <v>953.3</v>
      </c>
      <c r="F22" s="1">
        <v>11</v>
      </c>
      <c r="G22" s="2">
        <v>0</v>
      </c>
      <c r="H22" s="3">
        <v>45415</v>
      </c>
      <c r="I22" s="1">
        <v>476.65</v>
      </c>
      <c r="J22" s="8" t="str">
        <f t="shared" si="0"/>
        <v>May-2024</v>
      </c>
    </row>
    <row r="23" spans="1:14" ht="28.8" x14ac:dyDescent="0.3">
      <c r="A23" s="1" t="s">
        <v>49</v>
      </c>
      <c r="B23" s="1" t="s">
        <v>14</v>
      </c>
      <c r="C23" s="1" t="s">
        <v>24</v>
      </c>
      <c r="D23" s="1" t="s">
        <v>21</v>
      </c>
      <c r="E23" s="1">
        <v>388.56</v>
      </c>
      <c r="F23" s="1">
        <v>14</v>
      </c>
      <c r="G23" s="2">
        <v>0.15</v>
      </c>
      <c r="H23" s="3">
        <v>45416</v>
      </c>
      <c r="I23" s="1">
        <v>82.57</v>
      </c>
      <c r="J23" s="8" t="str">
        <f t="shared" si="0"/>
        <v>May-2024</v>
      </c>
    </row>
    <row r="24" spans="1:14" ht="28.8" x14ac:dyDescent="0.3">
      <c r="A24" s="1" t="s">
        <v>9</v>
      </c>
      <c r="B24" s="1" t="s">
        <v>31</v>
      </c>
      <c r="C24" s="1" t="s">
        <v>11</v>
      </c>
      <c r="D24" s="1" t="s">
        <v>12</v>
      </c>
      <c r="E24" s="1">
        <v>743.17</v>
      </c>
      <c r="F24" s="1">
        <v>9</v>
      </c>
      <c r="G24" s="2">
        <v>0</v>
      </c>
      <c r="H24" s="3">
        <v>45416</v>
      </c>
      <c r="I24" s="1">
        <v>297.27</v>
      </c>
      <c r="J24" s="8" t="str">
        <f t="shared" si="0"/>
        <v>May-2024</v>
      </c>
    </row>
    <row r="25" spans="1:14" ht="28.8" x14ac:dyDescent="0.3">
      <c r="A25" s="1" t="s">
        <v>40</v>
      </c>
      <c r="B25" s="1" t="s">
        <v>31</v>
      </c>
      <c r="C25" s="1" t="s">
        <v>34</v>
      </c>
      <c r="D25" s="1" t="s">
        <v>21</v>
      </c>
      <c r="E25" s="1">
        <v>706.37</v>
      </c>
      <c r="F25" s="1">
        <v>6</v>
      </c>
      <c r="G25" s="2">
        <v>0</v>
      </c>
      <c r="H25" s="3">
        <v>45416</v>
      </c>
      <c r="I25" s="1">
        <v>176.59</v>
      </c>
      <c r="J25" s="8" t="str">
        <f t="shared" si="0"/>
        <v>May-2024</v>
      </c>
    </row>
    <row r="26" spans="1:14" ht="28.8" x14ac:dyDescent="0.3">
      <c r="A26" s="1" t="s">
        <v>13</v>
      </c>
      <c r="B26" s="1" t="s">
        <v>31</v>
      </c>
      <c r="C26" s="1" t="s">
        <v>34</v>
      </c>
      <c r="D26" s="1" t="s">
        <v>39</v>
      </c>
      <c r="E26" s="1">
        <v>925.31</v>
      </c>
      <c r="F26" s="1">
        <v>8</v>
      </c>
      <c r="G26" s="2">
        <v>0.1</v>
      </c>
      <c r="H26" s="3">
        <v>45418</v>
      </c>
      <c r="I26" s="1">
        <v>374.75</v>
      </c>
      <c r="J26" s="8" t="str">
        <f t="shared" si="0"/>
        <v>May-2024</v>
      </c>
    </row>
    <row r="27" spans="1:14" ht="28.8" x14ac:dyDescent="0.3">
      <c r="A27" s="1" t="s">
        <v>35</v>
      </c>
      <c r="B27" s="1" t="s">
        <v>50</v>
      </c>
      <c r="C27" s="1" t="s">
        <v>20</v>
      </c>
      <c r="D27" s="1" t="s">
        <v>21</v>
      </c>
      <c r="E27" s="1">
        <v>1173.1199999999999</v>
      </c>
      <c r="F27" s="1">
        <v>18</v>
      </c>
      <c r="G27" s="2">
        <v>0</v>
      </c>
      <c r="H27" s="3">
        <v>45418</v>
      </c>
      <c r="I27" s="1">
        <v>293.27999999999997</v>
      </c>
      <c r="J27" s="8" t="str">
        <f t="shared" si="0"/>
        <v>May-2024</v>
      </c>
    </row>
    <row r="28" spans="1:14" ht="28.8" x14ac:dyDescent="0.3">
      <c r="A28" s="1" t="s">
        <v>22</v>
      </c>
      <c r="B28" s="1" t="s">
        <v>51</v>
      </c>
      <c r="C28" s="1" t="s">
        <v>24</v>
      </c>
      <c r="D28" s="1" t="s">
        <v>27</v>
      </c>
      <c r="E28" s="1">
        <v>675.54</v>
      </c>
      <c r="F28" s="1">
        <v>17</v>
      </c>
      <c r="G28" s="2">
        <v>0</v>
      </c>
      <c r="H28" s="3">
        <v>45420</v>
      </c>
      <c r="I28" s="1">
        <v>236.44</v>
      </c>
      <c r="J28" s="8" t="str">
        <f t="shared" si="0"/>
        <v>May-2024</v>
      </c>
    </row>
    <row r="29" spans="1:14" ht="28.8" x14ac:dyDescent="0.3">
      <c r="A29" s="1" t="s">
        <v>25</v>
      </c>
      <c r="B29" s="1" t="s">
        <v>14</v>
      </c>
      <c r="C29" s="1" t="s">
        <v>34</v>
      </c>
      <c r="D29" s="1" t="s">
        <v>12</v>
      </c>
      <c r="E29" s="1">
        <v>939.09</v>
      </c>
      <c r="F29" s="1">
        <v>2</v>
      </c>
      <c r="G29" s="2">
        <v>0.05</v>
      </c>
      <c r="H29" s="3">
        <v>45422</v>
      </c>
      <c r="I29" s="1">
        <v>356.85</v>
      </c>
      <c r="J29" s="8" t="str">
        <f t="shared" si="0"/>
        <v>May-2024</v>
      </c>
    </row>
    <row r="30" spans="1:14" ht="28.8" x14ac:dyDescent="0.3">
      <c r="A30" s="1" t="s">
        <v>52</v>
      </c>
      <c r="B30" s="1" t="s">
        <v>53</v>
      </c>
      <c r="C30" s="1" t="s">
        <v>18</v>
      </c>
      <c r="D30" s="1" t="s">
        <v>39</v>
      </c>
      <c r="E30" s="1">
        <v>983.34</v>
      </c>
      <c r="F30" s="1">
        <v>19</v>
      </c>
      <c r="G30" s="2">
        <v>0.1</v>
      </c>
      <c r="H30" s="3">
        <v>45426</v>
      </c>
      <c r="I30" s="1">
        <v>398.25</v>
      </c>
      <c r="J30" s="8" t="str">
        <f t="shared" si="0"/>
        <v>May-2024</v>
      </c>
    </row>
    <row r="31" spans="1:14" ht="28.8" x14ac:dyDescent="0.3">
      <c r="A31" s="1" t="s">
        <v>52</v>
      </c>
      <c r="B31" s="1" t="s">
        <v>23</v>
      </c>
      <c r="C31" s="1" t="s">
        <v>20</v>
      </c>
      <c r="D31" s="1" t="s">
        <v>21</v>
      </c>
      <c r="E31" s="1">
        <v>801.21</v>
      </c>
      <c r="F31" s="1">
        <v>3</v>
      </c>
      <c r="G31" s="2">
        <v>0.2</v>
      </c>
      <c r="H31" s="3">
        <v>45426</v>
      </c>
      <c r="I31" s="1">
        <v>160.24</v>
      </c>
      <c r="J31" s="8" t="str">
        <f t="shared" si="0"/>
        <v>May-2024</v>
      </c>
    </row>
    <row r="32" spans="1:14" ht="28.8" x14ac:dyDescent="0.3">
      <c r="A32" s="1" t="s">
        <v>54</v>
      </c>
      <c r="B32" s="1" t="s">
        <v>55</v>
      </c>
      <c r="C32" s="1" t="s">
        <v>24</v>
      </c>
      <c r="D32" s="1" t="s">
        <v>21</v>
      </c>
      <c r="E32" s="1">
        <v>1450.71</v>
      </c>
      <c r="F32" s="1">
        <v>5</v>
      </c>
      <c r="G32" s="2">
        <v>0.1</v>
      </c>
      <c r="H32" s="3">
        <v>45427</v>
      </c>
      <c r="I32" s="1">
        <v>326.41000000000003</v>
      </c>
      <c r="J32" s="8" t="str">
        <f t="shared" si="0"/>
        <v>May-2024</v>
      </c>
    </row>
    <row r="33" spans="1:10" ht="28.8" x14ac:dyDescent="0.3">
      <c r="A33" s="1" t="s">
        <v>49</v>
      </c>
      <c r="B33" s="1" t="s">
        <v>56</v>
      </c>
      <c r="C33" s="1" t="s">
        <v>34</v>
      </c>
      <c r="D33" s="1" t="s">
        <v>12</v>
      </c>
      <c r="E33" s="1">
        <v>1023.21</v>
      </c>
      <c r="F33" s="1">
        <v>18</v>
      </c>
      <c r="G33" s="2">
        <v>0.05</v>
      </c>
      <c r="H33" s="3">
        <v>45428</v>
      </c>
      <c r="I33" s="1">
        <v>388.82</v>
      </c>
      <c r="J33" s="8" t="str">
        <f t="shared" si="0"/>
        <v>May-2024</v>
      </c>
    </row>
    <row r="34" spans="1:10" ht="28.8" x14ac:dyDescent="0.3">
      <c r="A34" s="1" t="s">
        <v>28</v>
      </c>
      <c r="B34" s="1" t="s">
        <v>47</v>
      </c>
      <c r="C34" s="1" t="s">
        <v>11</v>
      </c>
      <c r="D34" s="1" t="s">
        <v>27</v>
      </c>
      <c r="E34" s="1">
        <v>853.72</v>
      </c>
      <c r="F34" s="1">
        <v>5</v>
      </c>
      <c r="G34" s="2">
        <v>0.15</v>
      </c>
      <c r="H34" s="3">
        <v>45428</v>
      </c>
      <c r="I34" s="1">
        <v>253.98</v>
      </c>
      <c r="J34" s="8" t="str">
        <f t="shared" si="0"/>
        <v>May-2024</v>
      </c>
    </row>
    <row r="35" spans="1:10" ht="28.8" x14ac:dyDescent="0.3">
      <c r="A35" s="1" t="s">
        <v>57</v>
      </c>
      <c r="B35" s="1" t="s">
        <v>43</v>
      </c>
      <c r="C35" s="1" t="s">
        <v>20</v>
      </c>
      <c r="D35" s="1" t="s">
        <v>21</v>
      </c>
      <c r="E35" s="1">
        <v>967.89</v>
      </c>
      <c r="F35" s="1">
        <v>10</v>
      </c>
      <c r="G35" s="2">
        <v>0.1</v>
      </c>
      <c r="H35" s="3">
        <v>45429</v>
      </c>
      <c r="I35" s="1">
        <v>217.78</v>
      </c>
      <c r="J35" s="8" t="str">
        <f t="shared" si="0"/>
        <v>May-2024</v>
      </c>
    </row>
    <row r="36" spans="1:10" ht="28.8" x14ac:dyDescent="0.3">
      <c r="A36" s="1" t="s">
        <v>58</v>
      </c>
      <c r="B36" s="1" t="s">
        <v>53</v>
      </c>
      <c r="C36" s="1" t="s">
        <v>24</v>
      </c>
      <c r="D36" s="1" t="s">
        <v>39</v>
      </c>
      <c r="E36" s="1">
        <v>1200.9000000000001</v>
      </c>
      <c r="F36" s="1">
        <v>14</v>
      </c>
      <c r="G36" s="2">
        <v>0.05</v>
      </c>
      <c r="H36" s="3">
        <v>45429</v>
      </c>
      <c r="I36" s="1">
        <v>513.38</v>
      </c>
      <c r="J36" s="8" t="str">
        <f t="shared" si="0"/>
        <v>May-2024</v>
      </c>
    </row>
    <row r="37" spans="1:10" ht="28.8" x14ac:dyDescent="0.3">
      <c r="A37" s="1" t="s">
        <v>13</v>
      </c>
      <c r="B37" s="1" t="s">
        <v>26</v>
      </c>
      <c r="C37" s="1" t="s">
        <v>11</v>
      </c>
      <c r="D37" s="1" t="s">
        <v>12</v>
      </c>
      <c r="E37" s="1">
        <v>472.38</v>
      </c>
      <c r="F37" s="1">
        <v>12</v>
      </c>
      <c r="G37" s="2">
        <v>0.2</v>
      </c>
      <c r="H37" s="3">
        <v>45429</v>
      </c>
      <c r="I37" s="1">
        <v>151.16</v>
      </c>
      <c r="J37" s="8" t="str">
        <f t="shared" si="0"/>
        <v>May-2024</v>
      </c>
    </row>
    <row r="38" spans="1:10" ht="28.8" x14ac:dyDescent="0.3">
      <c r="A38" s="1" t="s">
        <v>9</v>
      </c>
      <c r="B38" s="1" t="s">
        <v>55</v>
      </c>
      <c r="C38" s="1" t="s">
        <v>18</v>
      </c>
      <c r="D38" s="1" t="s">
        <v>39</v>
      </c>
      <c r="E38" s="1">
        <v>840.92</v>
      </c>
      <c r="F38" s="1">
        <v>9</v>
      </c>
      <c r="G38" s="2">
        <v>0.05</v>
      </c>
      <c r="H38" s="3">
        <v>45429</v>
      </c>
      <c r="I38" s="1">
        <v>359.49</v>
      </c>
      <c r="J38" s="8" t="str">
        <f t="shared" si="0"/>
        <v>May-2024</v>
      </c>
    </row>
    <row r="39" spans="1:10" x14ac:dyDescent="0.3">
      <c r="A39" s="1" t="s">
        <v>52</v>
      </c>
      <c r="B39" s="1" t="s">
        <v>48</v>
      </c>
      <c r="C39" s="1" t="s">
        <v>34</v>
      </c>
      <c r="D39" s="1" t="s">
        <v>27</v>
      </c>
      <c r="E39" s="1">
        <v>1410.06</v>
      </c>
      <c r="F39" s="1">
        <v>11</v>
      </c>
      <c r="G39" s="2">
        <v>0.05</v>
      </c>
      <c r="H39" s="3">
        <v>45434</v>
      </c>
      <c r="I39" s="1">
        <v>468.84</v>
      </c>
      <c r="J39" s="8" t="str">
        <f t="shared" si="0"/>
        <v>May-2024</v>
      </c>
    </row>
    <row r="40" spans="1:10" ht="28.8" x14ac:dyDescent="0.3">
      <c r="A40" s="1" t="s">
        <v>44</v>
      </c>
      <c r="B40" s="1" t="s">
        <v>59</v>
      </c>
      <c r="C40" s="1" t="s">
        <v>34</v>
      </c>
      <c r="D40" s="1" t="s">
        <v>27</v>
      </c>
      <c r="E40" s="1">
        <v>773.09</v>
      </c>
      <c r="F40" s="1">
        <v>13</v>
      </c>
      <c r="G40" s="2">
        <v>0.15</v>
      </c>
      <c r="H40" s="3">
        <v>45434</v>
      </c>
      <c r="I40" s="1">
        <v>229.99</v>
      </c>
      <c r="J40" s="8" t="str">
        <f t="shared" si="0"/>
        <v>May-2024</v>
      </c>
    </row>
    <row r="41" spans="1:10" ht="28.8" x14ac:dyDescent="0.3">
      <c r="A41" s="1" t="s">
        <v>60</v>
      </c>
      <c r="B41" s="1" t="s">
        <v>61</v>
      </c>
      <c r="C41" s="1" t="s">
        <v>18</v>
      </c>
      <c r="D41" s="1" t="s">
        <v>12</v>
      </c>
      <c r="E41" s="1">
        <v>580.42999999999995</v>
      </c>
      <c r="F41" s="1">
        <v>19</v>
      </c>
      <c r="G41" s="2">
        <v>0.15</v>
      </c>
      <c r="H41" s="3">
        <v>45435</v>
      </c>
      <c r="I41" s="1">
        <v>197.35</v>
      </c>
      <c r="J41" s="8" t="str">
        <f t="shared" si="0"/>
        <v>May-2024</v>
      </c>
    </row>
    <row r="42" spans="1:10" ht="28.8" x14ac:dyDescent="0.3">
      <c r="A42" s="1" t="s">
        <v>19</v>
      </c>
      <c r="B42" s="1" t="s">
        <v>42</v>
      </c>
      <c r="C42" s="1" t="s">
        <v>20</v>
      </c>
      <c r="D42" s="1" t="s">
        <v>12</v>
      </c>
      <c r="E42" s="1">
        <v>1151.21</v>
      </c>
      <c r="F42" s="1">
        <v>15</v>
      </c>
      <c r="G42" s="2">
        <v>0.1</v>
      </c>
      <c r="H42" s="3">
        <v>45445</v>
      </c>
      <c r="I42" s="1">
        <v>414.44</v>
      </c>
      <c r="J42" s="8" t="str">
        <f t="shared" si="0"/>
        <v>Jun-2024</v>
      </c>
    </row>
    <row r="43" spans="1:10" ht="28.8" x14ac:dyDescent="0.3">
      <c r="A43" s="1" t="s">
        <v>52</v>
      </c>
      <c r="B43" s="1" t="s">
        <v>23</v>
      </c>
      <c r="C43" s="1" t="s">
        <v>34</v>
      </c>
      <c r="D43" s="1" t="s">
        <v>39</v>
      </c>
      <c r="E43" s="1">
        <v>1025.98</v>
      </c>
      <c r="F43" s="1">
        <v>5</v>
      </c>
      <c r="G43" s="2">
        <v>0.2</v>
      </c>
      <c r="H43" s="3">
        <v>45447</v>
      </c>
      <c r="I43" s="1">
        <v>369.35</v>
      </c>
      <c r="J43" s="8" t="str">
        <f t="shared" si="0"/>
        <v>Jun-2024</v>
      </c>
    </row>
    <row r="44" spans="1:10" ht="28.8" x14ac:dyDescent="0.3">
      <c r="A44" s="1" t="s">
        <v>40</v>
      </c>
      <c r="B44" s="1" t="s">
        <v>56</v>
      </c>
      <c r="C44" s="1" t="s">
        <v>18</v>
      </c>
      <c r="D44" s="1" t="s">
        <v>39</v>
      </c>
      <c r="E44" s="1">
        <v>556.41999999999996</v>
      </c>
      <c r="F44" s="1">
        <v>11</v>
      </c>
      <c r="G44" s="2">
        <v>0.15</v>
      </c>
      <c r="H44" s="3">
        <v>45447</v>
      </c>
      <c r="I44" s="1">
        <v>212.83</v>
      </c>
      <c r="J44" s="8" t="str">
        <f t="shared" si="0"/>
        <v>Jun-2024</v>
      </c>
    </row>
    <row r="45" spans="1:10" ht="28.8" x14ac:dyDescent="0.3">
      <c r="A45" s="1" t="s">
        <v>57</v>
      </c>
      <c r="B45" s="1" t="s">
        <v>23</v>
      </c>
      <c r="C45" s="1" t="s">
        <v>34</v>
      </c>
      <c r="D45" s="1" t="s">
        <v>12</v>
      </c>
      <c r="E45" s="1">
        <v>840.85</v>
      </c>
      <c r="F45" s="1">
        <v>19</v>
      </c>
      <c r="G45" s="2">
        <v>0.1</v>
      </c>
      <c r="H45" s="3">
        <v>45448</v>
      </c>
      <c r="I45" s="1">
        <v>302.70999999999998</v>
      </c>
      <c r="J45" s="8" t="str">
        <f t="shared" si="0"/>
        <v>Jun-2024</v>
      </c>
    </row>
    <row r="46" spans="1:10" ht="28.8" x14ac:dyDescent="0.3">
      <c r="A46" s="1" t="s">
        <v>30</v>
      </c>
      <c r="B46" s="1" t="s">
        <v>61</v>
      </c>
      <c r="C46" s="1" t="s">
        <v>24</v>
      </c>
      <c r="D46" s="1" t="s">
        <v>27</v>
      </c>
      <c r="E46" s="1">
        <v>1227.25</v>
      </c>
      <c r="F46" s="1">
        <v>12</v>
      </c>
      <c r="G46" s="2">
        <v>0.15</v>
      </c>
      <c r="H46" s="3">
        <v>45448</v>
      </c>
      <c r="I46" s="1">
        <v>365.11</v>
      </c>
      <c r="J46" s="8" t="str">
        <f t="shared" si="0"/>
        <v>Jun-2024</v>
      </c>
    </row>
    <row r="47" spans="1:10" ht="28.8" x14ac:dyDescent="0.3">
      <c r="A47" s="1" t="s">
        <v>16</v>
      </c>
      <c r="B47" s="1" t="s">
        <v>62</v>
      </c>
      <c r="C47" s="1" t="s">
        <v>34</v>
      </c>
      <c r="D47" s="1" t="s">
        <v>21</v>
      </c>
      <c r="E47" s="1">
        <v>856.7</v>
      </c>
      <c r="F47" s="1">
        <v>2</v>
      </c>
      <c r="G47" s="2">
        <v>0</v>
      </c>
      <c r="H47" s="3">
        <v>45449</v>
      </c>
      <c r="I47" s="1">
        <v>214.18</v>
      </c>
      <c r="J47" s="8" t="str">
        <f t="shared" si="0"/>
        <v>Jun-2024</v>
      </c>
    </row>
    <row r="48" spans="1:10" ht="28.8" x14ac:dyDescent="0.3">
      <c r="A48" s="1" t="s">
        <v>54</v>
      </c>
      <c r="B48" s="1" t="s">
        <v>56</v>
      </c>
      <c r="C48" s="1" t="s">
        <v>34</v>
      </c>
      <c r="D48" s="1" t="s">
        <v>39</v>
      </c>
      <c r="E48" s="1">
        <v>1225.42</v>
      </c>
      <c r="F48" s="1">
        <v>8</v>
      </c>
      <c r="G48" s="2">
        <v>0.15</v>
      </c>
      <c r="H48" s="3">
        <v>45449</v>
      </c>
      <c r="I48" s="1">
        <v>468.72</v>
      </c>
      <c r="J48" s="8" t="str">
        <f t="shared" si="0"/>
        <v>Jun-2024</v>
      </c>
    </row>
    <row r="49" spans="1:10" ht="28.8" x14ac:dyDescent="0.3">
      <c r="A49" s="1" t="s">
        <v>63</v>
      </c>
      <c r="B49" s="1" t="s">
        <v>31</v>
      </c>
      <c r="C49" s="1" t="s">
        <v>24</v>
      </c>
      <c r="D49" s="1" t="s">
        <v>39</v>
      </c>
      <c r="E49" s="1">
        <v>1001.57</v>
      </c>
      <c r="F49" s="1">
        <v>12</v>
      </c>
      <c r="G49" s="2">
        <v>0</v>
      </c>
      <c r="H49" s="3">
        <v>45450</v>
      </c>
      <c r="I49" s="1">
        <v>450.71</v>
      </c>
      <c r="J49" s="8" t="str">
        <f t="shared" si="0"/>
        <v>Jun-2024</v>
      </c>
    </row>
    <row r="50" spans="1:10" ht="28.8" x14ac:dyDescent="0.3">
      <c r="A50" s="1" t="s">
        <v>57</v>
      </c>
      <c r="B50" s="1" t="s">
        <v>26</v>
      </c>
      <c r="C50" s="1" t="s">
        <v>18</v>
      </c>
      <c r="D50" s="1" t="s">
        <v>27</v>
      </c>
      <c r="E50" s="1">
        <v>1186.8499999999999</v>
      </c>
      <c r="F50" s="1">
        <v>19</v>
      </c>
      <c r="G50" s="2">
        <v>0.2</v>
      </c>
      <c r="H50" s="3">
        <v>45451</v>
      </c>
      <c r="I50" s="1">
        <v>332.32</v>
      </c>
      <c r="J50" s="8" t="str">
        <f t="shared" si="0"/>
        <v>Jun-2024</v>
      </c>
    </row>
    <row r="51" spans="1:10" ht="28.8" x14ac:dyDescent="0.3">
      <c r="A51" s="1" t="s">
        <v>44</v>
      </c>
      <c r="B51" s="1" t="s">
        <v>51</v>
      </c>
      <c r="C51" s="1" t="s">
        <v>20</v>
      </c>
      <c r="D51" s="1" t="s">
        <v>21</v>
      </c>
      <c r="E51" s="1">
        <v>775.45</v>
      </c>
      <c r="F51" s="1">
        <v>6</v>
      </c>
      <c r="G51" s="2">
        <v>0.1</v>
      </c>
      <c r="H51" s="3">
        <v>45457</v>
      </c>
      <c r="I51" s="1">
        <v>174.48</v>
      </c>
      <c r="J51" s="8" t="str">
        <f t="shared" si="0"/>
        <v>Jun-2024</v>
      </c>
    </row>
    <row r="52" spans="1:10" ht="28.8" x14ac:dyDescent="0.3">
      <c r="A52" s="1" t="s">
        <v>25</v>
      </c>
      <c r="B52" s="1" t="s">
        <v>33</v>
      </c>
      <c r="C52" s="1" t="s">
        <v>20</v>
      </c>
      <c r="D52" s="1" t="s">
        <v>21</v>
      </c>
      <c r="E52" s="1">
        <v>1021.47</v>
      </c>
      <c r="F52" s="1">
        <v>6</v>
      </c>
      <c r="G52" s="2">
        <v>0.05</v>
      </c>
      <c r="H52" s="3">
        <v>45461</v>
      </c>
      <c r="I52" s="1">
        <v>242.6</v>
      </c>
      <c r="J52" s="8" t="str">
        <f t="shared" si="0"/>
        <v>Jun-2024</v>
      </c>
    </row>
    <row r="53" spans="1:10" ht="28.8" x14ac:dyDescent="0.3">
      <c r="A53" s="1" t="s">
        <v>58</v>
      </c>
      <c r="B53" s="1" t="s">
        <v>23</v>
      </c>
      <c r="C53" s="1" t="s">
        <v>20</v>
      </c>
      <c r="D53" s="1" t="s">
        <v>15</v>
      </c>
      <c r="E53" s="1">
        <v>1226.6199999999999</v>
      </c>
      <c r="F53" s="1">
        <v>7</v>
      </c>
      <c r="G53" s="2">
        <v>0.1</v>
      </c>
      <c r="H53" s="3">
        <v>45463</v>
      </c>
      <c r="I53" s="1">
        <v>551.98</v>
      </c>
      <c r="J53" s="8" t="str">
        <f t="shared" si="0"/>
        <v>Jun-2024</v>
      </c>
    </row>
    <row r="54" spans="1:10" ht="28.8" x14ac:dyDescent="0.3">
      <c r="A54" s="1" t="s">
        <v>22</v>
      </c>
      <c r="B54" s="1" t="s">
        <v>64</v>
      </c>
      <c r="C54" s="1" t="s">
        <v>20</v>
      </c>
      <c r="D54" s="1" t="s">
        <v>27</v>
      </c>
      <c r="E54" s="1">
        <v>1086.93</v>
      </c>
      <c r="F54" s="1">
        <v>2</v>
      </c>
      <c r="G54" s="2">
        <v>0</v>
      </c>
      <c r="H54" s="3">
        <v>45464</v>
      </c>
      <c r="I54" s="1">
        <v>380.43</v>
      </c>
      <c r="J54" s="8" t="str">
        <f t="shared" si="0"/>
        <v>Jun-2024</v>
      </c>
    </row>
    <row r="55" spans="1:10" x14ac:dyDescent="0.3">
      <c r="A55" s="1" t="s">
        <v>65</v>
      </c>
      <c r="B55" s="1" t="s">
        <v>48</v>
      </c>
      <c r="C55" s="1" t="s">
        <v>11</v>
      </c>
      <c r="D55" s="1" t="s">
        <v>12</v>
      </c>
      <c r="E55" s="1">
        <v>942.9</v>
      </c>
      <c r="F55" s="1">
        <v>18</v>
      </c>
      <c r="G55" s="2">
        <v>0.1</v>
      </c>
      <c r="H55" s="3">
        <v>45466</v>
      </c>
      <c r="I55" s="1">
        <v>339.44</v>
      </c>
      <c r="J55" s="8" t="str">
        <f t="shared" si="0"/>
        <v>Jun-2024</v>
      </c>
    </row>
    <row r="56" spans="1:10" ht="28.8" x14ac:dyDescent="0.3">
      <c r="A56" s="1" t="s">
        <v>32</v>
      </c>
      <c r="B56" s="1" t="s">
        <v>38</v>
      </c>
      <c r="C56" s="1" t="s">
        <v>24</v>
      </c>
      <c r="D56" s="1" t="s">
        <v>21</v>
      </c>
      <c r="E56" s="1">
        <v>818.8</v>
      </c>
      <c r="F56" s="1">
        <v>15</v>
      </c>
      <c r="G56" s="2">
        <v>0.15</v>
      </c>
      <c r="H56" s="3">
        <v>45468</v>
      </c>
      <c r="I56" s="1">
        <v>173.99</v>
      </c>
      <c r="J56" s="8" t="str">
        <f t="shared" si="0"/>
        <v>Jun-2024</v>
      </c>
    </row>
    <row r="57" spans="1:10" ht="28.8" x14ac:dyDescent="0.3">
      <c r="A57" s="1" t="s">
        <v>19</v>
      </c>
      <c r="B57" s="1" t="s">
        <v>14</v>
      </c>
      <c r="C57" s="1" t="s">
        <v>20</v>
      </c>
      <c r="D57" s="1" t="s">
        <v>27</v>
      </c>
      <c r="E57" s="1">
        <v>919.04</v>
      </c>
      <c r="F57" s="1">
        <v>10</v>
      </c>
      <c r="G57" s="2">
        <v>0.2</v>
      </c>
      <c r="H57" s="3">
        <v>45468</v>
      </c>
      <c r="I57" s="1">
        <v>257.33</v>
      </c>
      <c r="J57" s="8" t="str">
        <f t="shared" si="0"/>
        <v>Jun-2024</v>
      </c>
    </row>
    <row r="58" spans="1:10" ht="28.8" x14ac:dyDescent="0.3">
      <c r="A58" s="1" t="s">
        <v>22</v>
      </c>
      <c r="B58" s="1" t="s">
        <v>66</v>
      </c>
      <c r="C58" s="1" t="s">
        <v>34</v>
      </c>
      <c r="D58" s="1" t="s">
        <v>12</v>
      </c>
      <c r="E58" s="1">
        <v>973.26</v>
      </c>
      <c r="F58" s="1">
        <v>11</v>
      </c>
      <c r="G58" s="2">
        <v>0</v>
      </c>
      <c r="H58" s="3">
        <v>45470</v>
      </c>
      <c r="I58" s="1">
        <v>389.3</v>
      </c>
      <c r="J58" s="8" t="str">
        <f t="shared" si="0"/>
        <v>Jun-2024</v>
      </c>
    </row>
    <row r="59" spans="1:10" ht="28.8" x14ac:dyDescent="0.3">
      <c r="A59" s="1" t="s">
        <v>41</v>
      </c>
      <c r="B59" s="1" t="s">
        <v>64</v>
      </c>
      <c r="C59" s="1" t="s">
        <v>24</v>
      </c>
      <c r="D59" s="1" t="s">
        <v>21</v>
      </c>
      <c r="E59" s="1">
        <v>741.61</v>
      </c>
      <c r="F59" s="1">
        <v>1</v>
      </c>
      <c r="G59" s="2">
        <v>0.2</v>
      </c>
      <c r="H59" s="3">
        <v>45471</v>
      </c>
      <c r="I59" s="1">
        <v>148.32</v>
      </c>
      <c r="J59" s="8" t="str">
        <f t="shared" si="0"/>
        <v>Jun-2024</v>
      </c>
    </row>
    <row r="60" spans="1:10" ht="28.8" x14ac:dyDescent="0.3">
      <c r="A60" s="1" t="s">
        <v>67</v>
      </c>
      <c r="B60" s="1" t="s">
        <v>38</v>
      </c>
      <c r="C60" s="1" t="s">
        <v>24</v>
      </c>
      <c r="D60" s="1" t="s">
        <v>12</v>
      </c>
      <c r="E60" s="1">
        <v>1248.82</v>
      </c>
      <c r="F60" s="1">
        <v>2</v>
      </c>
      <c r="G60" s="2">
        <v>0.1</v>
      </c>
      <c r="H60" s="3">
        <v>45473</v>
      </c>
      <c r="I60" s="1">
        <v>449.58</v>
      </c>
      <c r="J60" s="8" t="str">
        <f t="shared" si="0"/>
        <v>Jun-2024</v>
      </c>
    </row>
    <row r="61" spans="1:10" ht="28.8" x14ac:dyDescent="0.3">
      <c r="A61" s="1" t="s">
        <v>13</v>
      </c>
      <c r="B61" s="1" t="s">
        <v>59</v>
      </c>
      <c r="C61" s="1" t="s">
        <v>11</v>
      </c>
      <c r="D61" s="1" t="s">
        <v>15</v>
      </c>
      <c r="E61" s="1">
        <v>1360.36</v>
      </c>
      <c r="F61" s="1">
        <v>17</v>
      </c>
      <c r="G61" s="2">
        <v>0</v>
      </c>
      <c r="H61" s="3">
        <v>45473</v>
      </c>
      <c r="I61" s="1">
        <v>680.18</v>
      </c>
      <c r="J61" s="8" t="str">
        <f t="shared" si="0"/>
        <v>Jun-2024</v>
      </c>
    </row>
    <row r="62" spans="1:10" ht="28.8" x14ac:dyDescent="0.3">
      <c r="A62" s="1" t="s">
        <v>57</v>
      </c>
      <c r="B62" s="1" t="s">
        <v>31</v>
      </c>
      <c r="C62" s="1" t="s">
        <v>18</v>
      </c>
      <c r="D62" s="1" t="s">
        <v>12</v>
      </c>
      <c r="E62" s="1">
        <v>1383.3</v>
      </c>
      <c r="F62" s="1">
        <v>8</v>
      </c>
      <c r="G62" s="2">
        <v>0.1</v>
      </c>
      <c r="H62" s="3">
        <v>45478</v>
      </c>
      <c r="I62" s="1">
        <v>497.99</v>
      </c>
      <c r="J62" s="8" t="str">
        <f t="shared" si="0"/>
        <v>Jul-2024</v>
      </c>
    </row>
    <row r="63" spans="1:10" ht="28.8" x14ac:dyDescent="0.3">
      <c r="A63" s="1" t="s">
        <v>35</v>
      </c>
      <c r="B63" s="1" t="s">
        <v>55</v>
      </c>
      <c r="C63" s="1" t="s">
        <v>34</v>
      </c>
      <c r="D63" s="1" t="s">
        <v>39</v>
      </c>
      <c r="E63" s="1">
        <v>488.99</v>
      </c>
      <c r="F63" s="1">
        <v>9</v>
      </c>
      <c r="G63" s="2">
        <v>0</v>
      </c>
      <c r="H63" s="3">
        <v>45479</v>
      </c>
      <c r="I63" s="1">
        <v>220.05</v>
      </c>
      <c r="J63" s="8" t="str">
        <f t="shared" si="0"/>
        <v>Jul-2024</v>
      </c>
    </row>
    <row r="64" spans="1:10" ht="28.8" x14ac:dyDescent="0.3">
      <c r="A64" s="1" t="s">
        <v>30</v>
      </c>
      <c r="B64" s="1" t="s">
        <v>31</v>
      </c>
      <c r="C64" s="1" t="s">
        <v>18</v>
      </c>
      <c r="D64" s="1" t="s">
        <v>27</v>
      </c>
      <c r="E64" s="1">
        <v>933.71</v>
      </c>
      <c r="F64" s="1">
        <v>17</v>
      </c>
      <c r="G64" s="2">
        <v>0.1</v>
      </c>
      <c r="H64" s="3">
        <v>45481</v>
      </c>
      <c r="I64" s="1">
        <v>294.12</v>
      </c>
      <c r="J64" s="8" t="str">
        <f t="shared" si="0"/>
        <v>Jul-2024</v>
      </c>
    </row>
    <row r="65" spans="1:10" ht="28.8" x14ac:dyDescent="0.3">
      <c r="A65" s="1" t="s">
        <v>67</v>
      </c>
      <c r="B65" s="1" t="s">
        <v>10</v>
      </c>
      <c r="C65" s="1" t="s">
        <v>11</v>
      </c>
      <c r="D65" s="1" t="s">
        <v>21</v>
      </c>
      <c r="E65" s="1">
        <v>1005.53</v>
      </c>
      <c r="F65" s="1">
        <v>17</v>
      </c>
      <c r="G65" s="2">
        <v>0.2</v>
      </c>
      <c r="H65" s="3">
        <v>45481</v>
      </c>
      <c r="I65" s="1">
        <v>201.11</v>
      </c>
      <c r="J65" s="8" t="str">
        <f t="shared" si="0"/>
        <v>Jul-2024</v>
      </c>
    </row>
    <row r="66" spans="1:10" ht="28.8" x14ac:dyDescent="0.3">
      <c r="A66" s="1" t="s">
        <v>41</v>
      </c>
      <c r="B66" s="1" t="s">
        <v>61</v>
      </c>
      <c r="C66" s="1" t="s">
        <v>20</v>
      </c>
      <c r="D66" s="1" t="s">
        <v>21</v>
      </c>
      <c r="E66" s="1">
        <v>1100.0999999999999</v>
      </c>
      <c r="F66" s="1">
        <v>5</v>
      </c>
      <c r="G66" s="2">
        <v>0.05</v>
      </c>
      <c r="H66" s="3">
        <v>45482</v>
      </c>
      <c r="I66" s="1">
        <v>261.27</v>
      </c>
      <c r="J66" s="8" t="str">
        <f t="shared" si="0"/>
        <v>Jul-2024</v>
      </c>
    </row>
    <row r="67" spans="1:10" ht="28.8" x14ac:dyDescent="0.3">
      <c r="A67" s="1" t="s">
        <v>67</v>
      </c>
      <c r="B67" s="1" t="s">
        <v>23</v>
      </c>
      <c r="C67" s="1" t="s">
        <v>24</v>
      </c>
      <c r="D67" s="1" t="s">
        <v>27</v>
      </c>
      <c r="E67" s="1">
        <v>1034.7</v>
      </c>
      <c r="F67" s="1">
        <v>15</v>
      </c>
      <c r="G67" s="2">
        <v>0.15</v>
      </c>
      <c r="H67" s="3">
        <v>45487</v>
      </c>
      <c r="I67" s="1">
        <v>307.82</v>
      </c>
      <c r="J67" s="8" t="str">
        <f t="shared" ref="J67:J130" si="1">TEXT(H67,"mmm-yyy")</f>
        <v>Jul-2024</v>
      </c>
    </row>
    <row r="68" spans="1:10" ht="28.8" x14ac:dyDescent="0.3">
      <c r="A68" s="1" t="s">
        <v>65</v>
      </c>
      <c r="B68" s="1" t="s">
        <v>31</v>
      </c>
      <c r="C68" s="1" t="s">
        <v>20</v>
      </c>
      <c r="D68" s="1" t="s">
        <v>12</v>
      </c>
      <c r="E68" s="1">
        <v>876.44</v>
      </c>
      <c r="F68" s="1">
        <v>12</v>
      </c>
      <c r="G68" s="2">
        <v>0.05</v>
      </c>
      <c r="H68" s="3">
        <v>45488</v>
      </c>
      <c r="I68" s="1">
        <v>333.05</v>
      </c>
      <c r="J68" s="8" t="str">
        <f t="shared" si="1"/>
        <v>Jul-2024</v>
      </c>
    </row>
    <row r="69" spans="1:10" ht="28.8" x14ac:dyDescent="0.3">
      <c r="A69" s="1" t="s">
        <v>68</v>
      </c>
      <c r="B69" s="1" t="s">
        <v>55</v>
      </c>
      <c r="C69" s="1" t="s">
        <v>11</v>
      </c>
      <c r="D69" s="1" t="s">
        <v>27</v>
      </c>
      <c r="E69" s="1">
        <v>1371.34</v>
      </c>
      <c r="F69" s="1">
        <v>5</v>
      </c>
      <c r="G69" s="2">
        <v>0.05</v>
      </c>
      <c r="H69" s="3">
        <v>45488</v>
      </c>
      <c r="I69" s="1">
        <v>455.97</v>
      </c>
      <c r="J69" s="8" t="str">
        <f t="shared" si="1"/>
        <v>Jul-2024</v>
      </c>
    </row>
    <row r="70" spans="1:10" ht="28.8" x14ac:dyDescent="0.3">
      <c r="A70" s="1" t="s">
        <v>57</v>
      </c>
      <c r="B70" s="1" t="s">
        <v>47</v>
      </c>
      <c r="C70" s="1" t="s">
        <v>24</v>
      </c>
      <c r="D70" s="1" t="s">
        <v>21</v>
      </c>
      <c r="E70" s="1">
        <v>1020.26</v>
      </c>
      <c r="F70" s="1">
        <v>11</v>
      </c>
      <c r="G70" s="2">
        <v>0.05</v>
      </c>
      <c r="H70" s="3">
        <v>45494</v>
      </c>
      <c r="I70" s="1">
        <v>242.31</v>
      </c>
      <c r="J70" s="8" t="str">
        <f t="shared" si="1"/>
        <v>Jul-2024</v>
      </c>
    </row>
    <row r="71" spans="1:10" ht="28.8" x14ac:dyDescent="0.3">
      <c r="A71" s="1" t="s">
        <v>44</v>
      </c>
      <c r="B71" s="1" t="s">
        <v>10</v>
      </c>
      <c r="C71" s="1" t="s">
        <v>34</v>
      </c>
      <c r="D71" s="1" t="s">
        <v>39</v>
      </c>
      <c r="E71" s="1">
        <v>804.81</v>
      </c>
      <c r="F71" s="1">
        <v>1</v>
      </c>
      <c r="G71" s="2">
        <v>0.05</v>
      </c>
      <c r="H71" s="3">
        <v>45502</v>
      </c>
      <c r="I71" s="1">
        <v>344.06</v>
      </c>
      <c r="J71" s="8" t="str">
        <f t="shared" si="1"/>
        <v>Jul-2024</v>
      </c>
    </row>
    <row r="72" spans="1:10" ht="28.8" x14ac:dyDescent="0.3">
      <c r="A72" s="1" t="s">
        <v>22</v>
      </c>
      <c r="B72" s="1" t="s">
        <v>55</v>
      </c>
      <c r="C72" s="1" t="s">
        <v>34</v>
      </c>
      <c r="D72" s="1" t="s">
        <v>21</v>
      </c>
      <c r="E72" s="1">
        <v>608.66</v>
      </c>
      <c r="F72" s="1">
        <v>1</v>
      </c>
      <c r="G72" s="2">
        <v>0.05</v>
      </c>
      <c r="H72" s="3">
        <v>45503</v>
      </c>
      <c r="I72" s="1">
        <v>144.56</v>
      </c>
      <c r="J72" s="8" t="str">
        <f t="shared" si="1"/>
        <v>Jul-2024</v>
      </c>
    </row>
    <row r="73" spans="1:10" ht="28.8" x14ac:dyDescent="0.3">
      <c r="A73" s="1" t="s">
        <v>68</v>
      </c>
      <c r="B73" s="1" t="s">
        <v>69</v>
      </c>
      <c r="C73" s="1" t="s">
        <v>20</v>
      </c>
      <c r="D73" s="1" t="s">
        <v>39</v>
      </c>
      <c r="E73" s="1">
        <v>981.2</v>
      </c>
      <c r="F73" s="1">
        <v>19</v>
      </c>
      <c r="G73" s="2">
        <v>0</v>
      </c>
      <c r="H73" s="3">
        <v>45504</v>
      </c>
      <c r="I73" s="1">
        <v>441.54</v>
      </c>
      <c r="J73" s="8" t="str">
        <f t="shared" si="1"/>
        <v>Jul-2024</v>
      </c>
    </row>
    <row r="74" spans="1:10" ht="28.8" x14ac:dyDescent="0.3">
      <c r="A74" s="1" t="s">
        <v>70</v>
      </c>
      <c r="B74" s="1" t="s">
        <v>55</v>
      </c>
      <c r="C74" s="1" t="s">
        <v>18</v>
      </c>
      <c r="D74" s="1" t="s">
        <v>21</v>
      </c>
      <c r="E74" s="1">
        <v>539.77</v>
      </c>
      <c r="F74" s="1">
        <v>10</v>
      </c>
      <c r="G74" s="2">
        <v>0.15</v>
      </c>
      <c r="H74" s="3">
        <v>45509</v>
      </c>
      <c r="I74" s="1">
        <v>114.7</v>
      </c>
      <c r="J74" s="8" t="str">
        <f t="shared" si="1"/>
        <v>Aug-2024</v>
      </c>
    </row>
    <row r="75" spans="1:10" ht="28.8" x14ac:dyDescent="0.3">
      <c r="A75" s="1" t="s">
        <v>13</v>
      </c>
      <c r="B75" s="1" t="s">
        <v>71</v>
      </c>
      <c r="C75" s="1" t="s">
        <v>20</v>
      </c>
      <c r="D75" s="1" t="s">
        <v>12</v>
      </c>
      <c r="E75" s="1">
        <v>804.45</v>
      </c>
      <c r="F75" s="1">
        <v>5</v>
      </c>
      <c r="G75" s="2">
        <v>0.2</v>
      </c>
      <c r="H75" s="3">
        <v>45509</v>
      </c>
      <c r="I75" s="1">
        <v>257.42</v>
      </c>
      <c r="J75" s="8" t="str">
        <f t="shared" si="1"/>
        <v>Aug-2024</v>
      </c>
    </row>
    <row r="76" spans="1:10" ht="28.8" x14ac:dyDescent="0.3">
      <c r="A76" s="1" t="s">
        <v>70</v>
      </c>
      <c r="B76" s="1" t="s">
        <v>38</v>
      </c>
      <c r="C76" s="1" t="s">
        <v>11</v>
      </c>
      <c r="D76" s="1" t="s">
        <v>21</v>
      </c>
      <c r="E76" s="1">
        <v>1526.6</v>
      </c>
      <c r="F76" s="1">
        <v>13</v>
      </c>
      <c r="G76" s="2">
        <v>0.2</v>
      </c>
      <c r="H76" s="3">
        <v>45512</v>
      </c>
      <c r="I76" s="1">
        <v>305.32</v>
      </c>
      <c r="J76" s="8" t="str">
        <f t="shared" si="1"/>
        <v>Aug-2024</v>
      </c>
    </row>
    <row r="77" spans="1:10" ht="28.8" x14ac:dyDescent="0.3">
      <c r="A77" s="1" t="s">
        <v>13</v>
      </c>
      <c r="B77" s="1" t="s">
        <v>29</v>
      </c>
      <c r="C77" s="1" t="s">
        <v>11</v>
      </c>
      <c r="D77" s="1" t="s">
        <v>21</v>
      </c>
      <c r="E77" s="1">
        <v>1215.26</v>
      </c>
      <c r="F77" s="1">
        <v>5</v>
      </c>
      <c r="G77" s="2">
        <v>0.15</v>
      </c>
      <c r="H77" s="3">
        <v>45513</v>
      </c>
      <c r="I77" s="1">
        <v>258.24</v>
      </c>
      <c r="J77" s="8" t="str">
        <f t="shared" si="1"/>
        <v>Aug-2024</v>
      </c>
    </row>
    <row r="78" spans="1:10" ht="28.8" x14ac:dyDescent="0.3">
      <c r="A78" s="1" t="s">
        <v>19</v>
      </c>
      <c r="B78" s="1" t="s">
        <v>53</v>
      </c>
      <c r="C78" s="1" t="s">
        <v>34</v>
      </c>
      <c r="D78" s="1" t="s">
        <v>27</v>
      </c>
      <c r="E78" s="1">
        <v>1261.3399999999999</v>
      </c>
      <c r="F78" s="1">
        <v>3</v>
      </c>
      <c r="G78" s="2">
        <v>0</v>
      </c>
      <c r="H78" s="3">
        <v>45519</v>
      </c>
      <c r="I78" s="1">
        <v>441.47</v>
      </c>
      <c r="J78" s="8" t="str">
        <f t="shared" si="1"/>
        <v>Aug-2024</v>
      </c>
    </row>
    <row r="79" spans="1:10" ht="28.8" x14ac:dyDescent="0.3">
      <c r="A79" s="1" t="s">
        <v>72</v>
      </c>
      <c r="B79" s="1" t="s">
        <v>45</v>
      </c>
      <c r="C79" s="1" t="s">
        <v>24</v>
      </c>
      <c r="D79" s="1" t="s">
        <v>27</v>
      </c>
      <c r="E79" s="1">
        <v>518.07000000000005</v>
      </c>
      <c r="F79" s="1">
        <v>7</v>
      </c>
      <c r="G79" s="2">
        <v>0.05</v>
      </c>
      <c r="H79" s="3">
        <v>45522</v>
      </c>
      <c r="I79" s="1">
        <v>172.26</v>
      </c>
      <c r="J79" s="8" t="str">
        <f t="shared" si="1"/>
        <v>Aug-2024</v>
      </c>
    </row>
    <row r="80" spans="1:10" ht="28.8" x14ac:dyDescent="0.3">
      <c r="A80" s="1" t="s">
        <v>30</v>
      </c>
      <c r="B80" s="1" t="s">
        <v>29</v>
      </c>
      <c r="C80" s="1" t="s">
        <v>11</v>
      </c>
      <c r="D80" s="1" t="s">
        <v>39</v>
      </c>
      <c r="E80" s="1">
        <v>1111.3399999999999</v>
      </c>
      <c r="F80" s="1">
        <v>1</v>
      </c>
      <c r="G80" s="2">
        <v>0</v>
      </c>
      <c r="H80" s="3">
        <v>45523</v>
      </c>
      <c r="I80" s="1">
        <v>500.1</v>
      </c>
      <c r="J80" s="8" t="str">
        <f t="shared" si="1"/>
        <v>Aug-2024</v>
      </c>
    </row>
    <row r="81" spans="1:10" ht="28.8" x14ac:dyDescent="0.3">
      <c r="A81" s="1" t="s">
        <v>22</v>
      </c>
      <c r="B81" s="1" t="s">
        <v>31</v>
      </c>
      <c r="C81" s="1" t="s">
        <v>18</v>
      </c>
      <c r="D81" s="1" t="s">
        <v>15</v>
      </c>
      <c r="E81" s="1">
        <v>1291.47</v>
      </c>
      <c r="F81" s="1">
        <v>18</v>
      </c>
      <c r="G81" s="2">
        <v>0.1</v>
      </c>
      <c r="H81" s="3">
        <v>45526</v>
      </c>
      <c r="I81" s="1">
        <v>581.16</v>
      </c>
      <c r="J81" s="8" t="str">
        <f t="shared" si="1"/>
        <v>Aug-2024</v>
      </c>
    </row>
    <row r="82" spans="1:10" ht="28.8" x14ac:dyDescent="0.3">
      <c r="A82" s="1" t="s">
        <v>25</v>
      </c>
      <c r="B82" s="1" t="s">
        <v>55</v>
      </c>
      <c r="C82" s="1" t="s">
        <v>24</v>
      </c>
      <c r="D82" s="1" t="s">
        <v>12</v>
      </c>
      <c r="E82" s="1">
        <v>679.71</v>
      </c>
      <c r="F82" s="1">
        <v>19</v>
      </c>
      <c r="G82" s="2">
        <v>0</v>
      </c>
      <c r="H82" s="3">
        <v>45534</v>
      </c>
      <c r="I82" s="1">
        <v>271.88</v>
      </c>
      <c r="J82" s="8" t="str">
        <f t="shared" si="1"/>
        <v>Aug-2024</v>
      </c>
    </row>
    <row r="83" spans="1:10" ht="28.8" x14ac:dyDescent="0.3">
      <c r="A83" s="1" t="s">
        <v>68</v>
      </c>
      <c r="B83" s="1" t="s">
        <v>33</v>
      </c>
      <c r="C83" s="1" t="s">
        <v>18</v>
      </c>
      <c r="D83" s="1" t="s">
        <v>27</v>
      </c>
      <c r="E83" s="1">
        <v>1143.69</v>
      </c>
      <c r="F83" s="1">
        <v>17</v>
      </c>
      <c r="G83" s="2">
        <v>0</v>
      </c>
      <c r="H83" s="3">
        <v>45534</v>
      </c>
      <c r="I83" s="1">
        <v>400.29</v>
      </c>
      <c r="J83" s="8" t="str">
        <f t="shared" si="1"/>
        <v>Aug-2024</v>
      </c>
    </row>
    <row r="84" spans="1:10" ht="28.8" x14ac:dyDescent="0.3">
      <c r="A84" s="1" t="s">
        <v>52</v>
      </c>
      <c r="B84" s="1" t="s">
        <v>50</v>
      </c>
      <c r="C84" s="1" t="s">
        <v>34</v>
      </c>
      <c r="D84" s="1" t="s">
        <v>21</v>
      </c>
      <c r="E84" s="1">
        <v>790.08</v>
      </c>
      <c r="F84" s="1">
        <v>7</v>
      </c>
      <c r="G84" s="2">
        <v>0.1</v>
      </c>
      <c r="H84" s="3">
        <v>45536</v>
      </c>
      <c r="I84" s="1">
        <v>177.77</v>
      </c>
      <c r="J84" s="8" t="str">
        <f t="shared" si="1"/>
        <v>Sep-2024</v>
      </c>
    </row>
    <row r="85" spans="1:10" x14ac:dyDescent="0.3">
      <c r="A85" s="1" t="s">
        <v>19</v>
      </c>
      <c r="B85" s="1" t="s">
        <v>48</v>
      </c>
      <c r="C85" s="1" t="s">
        <v>34</v>
      </c>
      <c r="D85" s="1" t="s">
        <v>12</v>
      </c>
      <c r="E85" s="1">
        <v>1070.68</v>
      </c>
      <c r="F85" s="1">
        <v>7</v>
      </c>
      <c r="G85" s="2">
        <v>0.05</v>
      </c>
      <c r="H85" s="3">
        <v>45536</v>
      </c>
      <c r="I85" s="1">
        <v>406.86</v>
      </c>
      <c r="J85" s="8" t="str">
        <f t="shared" si="1"/>
        <v>Sep-2024</v>
      </c>
    </row>
    <row r="86" spans="1:10" ht="28.8" x14ac:dyDescent="0.3">
      <c r="A86" s="1" t="s">
        <v>58</v>
      </c>
      <c r="B86" s="1" t="s">
        <v>36</v>
      </c>
      <c r="C86" s="1" t="s">
        <v>11</v>
      </c>
      <c r="D86" s="1" t="s">
        <v>15</v>
      </c>
      <c r="E86" s="1">
        <v>1168.8900000000001</v>
      </c>
      <c r="F86" s="1">
        <v>4</v>
      </c>
      <c r="G86" s="2">
        <v>0.1</v>
      </c>
      <c r="H86" s="3">
        <v>45544</v>
      </c>
      <c r="I86" s="1">
        <v>526</v>
      </c>
      <c r="J86" s="8" t="str">
        <f t="shared" si="1"/>
        <v>Sep-2024</v>
      </c>
    </row>
    <row r="87" spans="1:10" ht="28.8" x14ac:dyDescent="0.3">
      <c r="A87" s="1" t="s">
        <v>67</v>
      </c>
      <c r="B87" s="1" t="s">
        <v>10</v>
      </c>
      <c r="C87" s="1" t="s">
        <v>20</v>
      </c>
      <c r="D87" s="1" t="s">
        <v>21</v>
      </c>
      <c r="E87" s="1">
        <v>1335.87</v>
      </c>
      <c r="F87" s="1">
        <v>17</v>
      </c>
      <c r="G87" s="2">
        <v>0</v>
      </c>
      <c r="H87" s="3">
        <v>45544</v>
      </c>
      <c r="I87" s="1">
        <v>333.97</v>
      </c>
      <c r="J87" s="8" t="str">
        <f t="shared" si="1"/>
        <v>Sep-2024</v>
      </c>
    </row>
    <row r="88" spans="1:10" ht="28.8" x14ac:dyDescent="0.3">
      <c r="A88" s="1" t="s">
        <v>40</v>
      </c>
      <c r="B88" s="1" t="s">
        <v>55</v>
      </c>
      <c r="C88" s="1" t="s">
        <v>18</v>
      </c>
      <c r="D88" s="1" t="s">
        <v>27</v>
      </c>
      <c r="E88" s="1">
        <v>873.7</v>
      </c>
      <c r="F88" s="1">
        <v>9</v>
      </c>
      <c r="G88" s="2">
        <v>0</v>
      </c>
      <c r="H88" s="3">
        <v>45546</v>
      </c>
      <c r="I88" s="1">
        <v>305.8</v>
      </c>
      <c r="J88" s="8" t="str">
        <f t="shared" si="1"/>
        <v>Sep-2024</v>
      </c>
    </row>
    <row r="89" spans="1:10" ht="28.8" x14ac:dyDescent="0.3">
      <c r="A89" s="1" t="s">
        <v>72</v>
      </c>
      <c r="B89" s="1" t="s">
        <v>64</v>
      </c>
      <c r="C89" s="1" t="s">
        <v>11</v>
      </c>
      <c r="D89" s="1" t="s">
        <v>39</v>
      </c>
      <c r="E89" s="1">
        <v>1443.98</v>
      </c>
      <c r="F89" s="1">
        <v>19</v>
      </c>
      <c r="G89" s="2">
        <v>0</v>
      </c>
      <c r="H89" s="3">
        <v>45547</v>
      </c>
      <c r="I89" s="1">
        <v>649.79</v>
      </c>
      <c r="J89" s="8" t="str">
        <f t="shared" si="1"/>
        <v>Sep-2024</v>
      </c>
    </row>
    <row r="90" spans="1:10" ht="28.8" x14ac:dyDescent="0.3">
      <c r="A90" s="1" t="s">
        <v>40</v>
      </c>
      <c r="B90" s="1" t="s">
        <v>23</v>
      </c>
      <c r="C90" s="1" t="s">
        <v>18</v>
      </c>
      <c r="D90" s="1" t="s">
        <v>39</v>
      </c>
      <c r="E90" s="1">
        <v>1154.33</v>
      </c>
      <c r="F90" s="1">
        <v>11</v>
      </c>
      <c r="G90" s="2">
        <v>0.15</v>
      </c>
      <c r="H90" s="3">
        <v>45549</v>
      </c>
      <c r="I90" s="1">
        <v>441.53</v>
      </c>
      <c r="J90" s="8" t="str">
        <f t="shared" si="1"/>
        <v>Sep-2024</v>
      </c>
    </row>
    <row r="91" spans="1:10" ht="28.8" x14ac:dyDescent="0.3">
      <c r="A91" s="1" t="s">
        <v>49</v>
      </c>
      <c r="B91" s="1" t="s">
        <v>50</v>
      </c>
      <c r="C91" s="1" t="s">
        <v>20</v>
      </c>
      <c r="D91" s="1" t="s">
        <v>12</v>
      </c>
      <c r="E91" s="1">
        <v>1264.49</v>
      </c>
      <c r="F91" s="1">
        <v>16</v>
      </c>
      <c r="G91" s="2">
        <v>0.05</v>
      </c>
      <c r="H91" s="3">
        <v>45549</v>
      </c>
      <c r="I91" s="1">
        <v>480.51</v>
      </c>
      <c r="J91" s="8" t="str">
        <f t="shared" si="1"/>
        <v>Sep-2024</v>
      </c>
    </row>
    <row r="92" spans="1:10" ht="28.8" x14ac:dyDescent="0.3">
      <c r="A92" s="1" t="s">
        <v>25</v>
      </c>
      <c r="B92" s="1" t="s">
        <v>66</v>
      </c>
      <c r="C92" s="1" t="s">
        <v>11</v>
      </c>
      <c r="D92" s="1" t="s">
        <v>27</v>
      </c>
      <c r="E92" s="1">
        <v>1101.55</v>
      </c>
      <c r="F92" s="1">
        <v>4</v>
      </c>
      <c r="G92" s="2">
        <v>0.1</v>
      </c>
      <c r="H92" s="3">
        <v>45551</v>
      </c>
      <c r="I92" s="1">
        <v>346.99</v>
      </c>
      <c r="J92" s="8" t="str">
        <f t="shared" si="1"/>
        <v>Sep-2024</v>
      </c>
    </row>
    <row r="93" spans="1:10" ht="28.8" x14ac:dyDescent="0.3">
      <c r="A93" s="1" t="s">
        <v>73</v>
      </c>
      <c r="B93" s="1" t="s">
        <v>14</v>
      </c>
      <c r="C93" s="1" t="s">
        <v>20</v>
      </c>
      <c r="D93" s="1" t="s">
        <v>27</v>
      </c>
      <c r="E93" s="1">
        <v>727.73</v>
      </c>
      <c r="F93" s="1">
        <v>1</v>
      </c>
      <c r="G93" s="2">
        <v>0.1</v>
      </c>
      <c r="H93" s="3">
        <v>45552</v>
      </c>
      <c r="I93" s="1">
        <v>229.23</v>
      </c>
      <c r="J93" s="8" t="str">
        <f t="shared" si="1"/>
        <v>Sep-2024</v>
      </c>
    </row>
    <row r="94" spans="1:10" ht="28.8" x14ac:dyDescent="0.3">
      <c r="A94" s="1" t="s">
        <v>74</v>
      </c>
      <c r="B94" s="1" t="s">
        <v>38</v>
      </c>
      <c r="C94" s="1" t="s">
        <v>18</v>
      </c>
      <c r="D94" s="1" t="s">
        <v>39</v>
      </c>
      <c r="E94" s="1">
        <v>875.41</v>
      </c>
      <c r="F94" s="1">
        <v>13</v>
      </c>
      <c r="G94" s="2">
        <v>0.15</v>
      </c>
      <c r="H94" s="3">
        <v>45552</v>
      </c>
      <c r="I94" s="1">
        <v>334.84</v>
      </c>
      <c r="J94" s="8" t="str">
        <f t="shared" si="1"/>
        <v>Sep-2024</v>
      </c>
    </row>
    <row r="95" spans="1:10" ht="28.8" x14ac:dyDescent="0.3">
      <c r="A95" s="1" t="s">
        <v>67</v>
      </c>
      <c r="B95" s="1" t="s">
        <v>23</v>
      </c>
      <c r="C95" s="1" t="s">
        <v>11</v>
      </c>
      <c r="D95" s="1" t="s">
        <v>21</v>
      </c>
      <c r="E95" s="1">
        <v>1158.94</v>
      </c>
      <c r="F95" s="1">
        <v>19</v>
      </c>
      <c r="G95" s="2">
        <v>0.2</v>
      </c>
      <c r="H95" s="3">
        <v>45553</v>
      </c>
      <c r="I95" s="1">
        <v>231.79</v>
      </c>
      <c r="J95" s="8" t="str">
        <f t="shared" si="1"/>
        <v>Sep-2024</v>
      </c>
    </row>
    <row r="96" spans="1:10" ht="28.8" x14ac:dyDescent="0.3">
      <c r="A96" s="1" t="s">
        <v>75</v>
      </c>
      <c r="B96" s="1" t="s">
        <v>47</v>
      </c>
      <c r="C96" s="1" t="s">
        <v>20</v>
      </c>
      <c r="D96" s="1" t="s">
        <v>12</v>
      </c>
      <c r="E96" s="1">
        <v>966.3</v>
      </c>
      <c r="F96" s="1">
        <v>2</v>
      </c>
      <c r="G96" s="2">
        <v>0.15</v>
      </c>
      <c r="H96" s="3">
        <v>45557</v>
      </c>
      <c r="I96" s="1">
        <v>328.54</v>
      </c>
      <c r="J96" s="8" t="str">
        <f t="shared" si="1"/>
        <v>Sep-2024</v>
      </c>
    </row>
    <row r="97" spans="1:10" ht="28.8" x14ac:dyDescent="0.3">
      <c r="A97" s="1" t="s">
        <v>68</v>
      </c>
      <c r="B97" s="1" t="s">
        <v>17</v>
      </c>
      <c r="C97" s="1" t="s">
        <v>20</v>
      </c>
      <c r="D97" s="1" t="s">
        <v>12</v>
      </c>
      <c r="E97" s="1">
        <v>917.48</v>
      </c>
      <c r="F97" s="1">
        <v>6</v>
      </c>
      <c r="G97" s="2">
        <v>0</v>
      </c>
      <c r="H97" s="3">
        <v>45558</v>
      </c>
      <c r="I97" s="1">
        <v>366.99</v>
      </c>
      <c r="J97" s="8" t="str">
        <f t="shared" si="1"/>
        <v>Sep-2024</v>
      </c>
    </row>
    <row r="98" spans="1:10" ht="28.8" x14ac:dyDescent="0.3">
      <c r="A98" s="1" t="s">
        <v>41</v>
      </c>
      <c r="B98" s="1" t="s">
        <v>61</v>
      </c>
      <c r="C98" s="1" t="s">
        <v>11</v>
      </c>
      <c r="D98" s="1" t="s">
        <v>27</v>
      </c>
      <c r="E98" s="1">
        <v>1172.97</v>
      </c>
      <c r="F98" s="1">
        <v>7</v>
      </c>
      <c r="G98" s="2">
        <v>0.15</v>
      </c>
      <c r="H98" s="3">
        <v>45559</v>
      </c>
      <c r="I98" s="1">
        <v>348.96</v>
      </c>
      <c r="J98" s="8" t="str">
        <f t="shared" si="1"/>
        <v>Sep-2024</v>
      </c>
    </row>
    <row r="99" spans="1:10" ht="28.8" x14ac:dyDescent="0.3">
      <c r="A99" s="1" t="s">
        <v>57</v>
      </c>
      <c r="B99" s="1" t="s">
        <v>23</v>
      </c>
      <c r="C99" s="1" t="s">
        <v>24</v>
      </c>
      <c r="D99" s="1" t="s">
        <v>15</v>
      </c>
      <c r="E99" s="1">
        <v>1205.82</v>
      </c>
      <c r="F99" s="1">
        <v>11</v>
      </c>
      <c r="G99" s="2">
        <v>0.1</v>
      </c>
      <c r="H99" s="3">
        <v>45559</v>
      </c>
      <c r="I99" s="1">
        <v>542.62</v>
      </c>
      <c r="J99" s="8" t="str">
        <f t="shared" si="1"/>
        <v>Sep-2024</v>
      </c>
    </row>
    <row r="100" spans="1:10" ht="28.8" x14ac:dyDescent="0.3">
      <c r="A100" s="1" t="s">
        <v>16</v>
      </c>
      <c r="B100" s="1" t="s">
        <v>64</v>
      </c>
      <c r="C100" s="1" t="s">
        <v>11</v>
      </c>
      <c r="D100" s="1" t="s">
        <v>39</v>
      </c>
      <c r="E100" s="1">
        <v>826.93</v>
      </c>
      <c r="F100" s="1">
        <v>10</v>
      </c>
      <c r="G100" s="2">
        <v>0.2</v>
      </c>
      <c r="H100" s="3">
        <v>45564</v>
      </c>
      <c r="I100" s="1">
        <v>297.69</v>
      </c>
      <c r="J100" s="8" t="str">
        <f t="shared" si="1"/>
        <v>Sep-2024</v>
      </c>
    </row>
    <row r="101" spans="1:10" ht="28.8" x14ac:dyDescent="0.3">
      <c r="A101" s="1" t="s">
        <v>67</v>
      </c>
      <c r="B101" s="1" t="s">
        <v>23</v>
      </c>
      <c r="C101" s="1" t="s">
        <v>34</v>
      </c>
      <c r="D101" s="1" t="s">
        <v>15</v>
      </c>
      <c r="E101" s="1">
        <v>902.19</v>
      </c>
      <c r="F101" s="1">
        <v>12</v>
      </c>
      <c r="G101" s="2">
        <v>0</v>
      </c>
      <c r="H101" s="3">
        <v>45564</v>
      </c>
      <c r="I101" s="1">
        <v>451.1</v>
      </c>
      <c r="J101" s="8" t="str">
        <f t="shared" si="1"/>
        <v>Sep-2024</v>
      </c>
    </row>
    <row r="102" spans="1:10" ht="28.8" x14ac:dyDescent="0.3">
      <c r="A102" s="1" t="s">
        <v>74</v>
      </c>
      <c r="B102" s="1" t="s">
        <v>38</v>
      </c>
      <c r="C102" s="1" t="s">
        <v>24</v>
      </c>
      <c r="D102" s="1" t="s">
        <v>12</v>
      </c>
      <c r="E102" s="1">
        <v>585.97</v>
      </c>
      <c r="F102" s="1">
        <v>17</v>
      </c>
      <c r="G102" s="2">
        <v>0.1</v>
      </c>
      <c r="H102" s="3">
        <v>45565</v>
      </c>
      <c r="I102" s="1">
        <v>210.95</v>
      </c>
      <c r="J102" s="8" t="str">
        <f t="shared" si="1"/>
        <v>Sep-2024</v>
      </c>
    </row>
    <row r="103" spans="1:10" ht="28.8" x14ac:dyDescent="0.3">
      <c r="A103" s="1" t="s">
        <v>60</v>
      </c>
      <c r="B103" s="1" t="s">
        <v>26</v>
      </c>
      <c r="C103" s="1" t="s">
        <v>24</v>
      </c>
      <c r="D103" s="1" t="s">
        <v>15</v>
      </c>
      <c r="E103" s="1">
        <v>990.19</v>
      </c>
      <c r="F103" s="1">
        <v>8</v>
      </c>
      <c r="G103" s="2">
        <v>0.1</v>
      </c>
      <c r="H103" s="3">
        <v>45565</v>
      </c>
      <c r="I103" s="1">
        <v>445.59</v>
      </c>
      <c r="J103" s="8" t="str">
        <f t="shared" si="1"/>
        <v>Sep-2024</v>
      </c>
    </row>
    <row r="104" spans="1:10" ht="28.8" x14ac:dyDescent="0.3">
      <c r="A104" s="1" t="s">
        <v>44</v>
      </c>
      <c r="B104" s="1" t="s">
        <v>56</v>
      </c>
      <c r="C104" s="1" t="s">
        <v>34</v>
      </c>
      <c r="D104" s="1" t="s">
        <v>21</v>
      </c>
      <c r="E104" s="1">
        <v>1014.09</v>
      </c>
      <c r="F104" s="1">
        <v>13</v>
      </c>
      <c r="G104" s="2">
        <v>0.2</v>
      </c>
      <c r="H104" s="3">
        <v>45567</v>
      </c>
      <c r="I104" s="1">
        <v>202.82</v>
      </c>
      <c r="J104" s="8" t="str">
        <f t="shared" si="1"/>
        <v>Oct-2024</v>
      </c>
    </row>
    <row r="105" spans="1:10" ht="28.8" x14ac:dyDescent="0.3">
      <c r="A105" s="1" t="s">
        <v>13</v>
      </c>
      <c r="B105" s="1" t="s">
        <v>48</v>
      </c>
      <c r="C105" s="1" t="s">
        <v>24</v>
      </c>
      <c r="D105" s="1" t="s">
        <v>21</v>
      </c>
      <c r="E105" s="1">
        <v>925.29</v>
      </c>
      <c r="F105" s="1">
        <v>17</v>
      </c>
      <c r="G105" s="2">
        <v>0</v>
      </c>
      <c r="H105" s="3">
        <v>45570</v>
      </c>
      <c r="I105" s="1">
        <v>231.32</v>
      </c>
      <c r="J105" s="8" t="str">
        <f t="shared" si="1"/>
        <v>Oct-2024</v>
      </c>
    </row>
    <row r="106" spans="1:10" ht="28.8" x14ac:dyDescent="0.3">
      <c r="A106" s="1" t="s">
        <v>54</v>
      </c>
      <c r="B106" s="1" t="s">
        <v>47</v>
      </c>
      <c r="C106" s="1" t="s">
        <v>18</v>
      </c>
      <c r="D106" s="1" t="s">
        <v>27</v>
      </c>
      <c r="E106" s="1">
        <v>1286.54</v>
      </c>
      <c r="F106" s="1">
        <v>8</v>
      </c>
      <c r="G106" s="2">
        <v>0</v>
      </c>
      <c r="H106" s="3">
        <v>45575</v>
      </c>
      <c r="I106" s="1">
        <v>450.29</v>
      </c>
      <c r="J106" s="8" t="str">
        <f t="shared" si="1"/>
        <v>Oct-2024</v>
      </c>
    </row>
    <row r="107" spans="1:10" ht="28.8" x14ac:dyDescent="0.3">
      <c r="A107" s="1" t="s">
        <v>37</v>
      </c>
      <c r="B107" s="1" t="s">
        <v>64</v>
      </c>
      <c r="C107" s="1" t="s">
        <v>20</v>
      </c>
      <c r="D107" s="1" t="s">
        <v>12</v>
      </c>
      <c r="E107" s="1">
        <v>961.62</v>
      </c>
      <c r="F107" s="1">
        <v>8</v>
      </c>
      <c r="G107" s="2">
        <v>0.2</v>
      </c>
      <c r="H107" s="3">
        <v>45577</v>
      </c>
      <c r="I107" s="1">
        <v>307.72000000000003</v>
      </c>
      <c r="J107" s="8" t="str">
        <f t="shared" si="1"/>
        <v>Oct-2024</v>
      </c>
    </row>
    <row r="108" spans="1:10" ht="28.8" x14ac:dyDescent="0.3">
      <c r="A108" s="1" t="s">
        <v>44</v>
      </c>
      <c r="B108" s="1" t="s">
        <v>23</v>
      </c>
      <c r="C108" s="1" t="s">
        <v>18</v>
      </c>
      <c r="D108" s="1" t="s">
        <v>12</v>
      </c>
      <c r="E108" s="1">
        <v>1081.1400000000001</v>
      </c>
      <c r="F108" s="1">
        <v>19</v>
      </c>
      <c r="G108" s="2">
        <v>0.15</v>
      </c>
      <c r="H108" s="3">
        <v>45577</v>
      </c>
      <c r="I108" s="1">
        <v>367.59</v>
      </c>
      <c r="J108" s="8" t="str">
        <f t="shared" si="1"/>
        <v>Oct-2024</v>
      </c>
    </row>
    <row r="109" spans="1:10" ht="28.8" x14ac:dyDescent="0.3">
      <c r="A109" s="1" t="s">
        <v>58</v>
      </c>
      <c r="B109" s="1" t="s">
        <v>23</v>
      </c>
      <c r="C109" s="1" t="s">
        <v>11</v>
      </c>
      <c r="D109" s="1" t="s">
        <v>15</v>
      </c>
      <c r="E109" s="1">
        <v>1923.66</v>
      </c>
      <c r="F109" s="1">
        <v>9</v>
      </c>
      <c r="G109" s="2">
        <v>0.2</v>
      </c>
      <c r="H109" s="3">
        <v>45580</v>
      </c>
      <c r="I109" s="1">
        <v>769.46</v>
      </c>
      <c r="J109" s="8" t="str">
        <f t="shared" si="1"/>
        <v>Oct-2024</v>
      </c>
    </row>
    <row r="110" spans="1:10" ht="28.8" x14ac:dyDescent="0.3">
      <c r="A110" s="1" t="s">
        <v>54</v>
      </c>
      <c r="B110" s="1" t="s">
        <v>66</v>
      </c>
      <c r="C110" s="1" t="s">
        <v>34</v>
      </c>
      <c r="D110" s="1" t="s">
        <v>15</v>
      </c>
      <c r="E110" s="1">
        <v>728.71</v>
      </c>
      <c r="F110" s="1">
        <v>14</v>
      </c>
      <c r="G110" s="2">
        <v>0.1</v>
      </c>
      <c r="H110" s="3">
        <v>45581</v>
      </c>
      <c r="I110" s="1">
        <v>327.92</v>
      </c>
      <c r="J110" s="8" t="str">
        <f t="shared" si="1"/>
        <v>Oct-2024</v>
      </c>
    </row>
    <row r="111" spans="1:10" ht="28.8" x14ac:dyDescent="0.3">
      <c r="A111" s="1" t="s">
        <v>9</v>
      </c>
      <c r="B111" s="1" t="s">
        <v>33</v>
      </c>
      <c r="C111" s="1" t="s">
        <v>34</v>
      </c>
      <c r="D111" s="1" t="s">
        <v>15</v>
      </c>
      <c r="E111" s="1">
        <v>1301.8900000000001</v>
      </c>
      <c r="F111" s="1">
        <v>7</v>
      </c>
      <c r="G111" s="2">
        <v>0.15</v>
      </c>
      <c r="H111" s="3">
        <v>45581</v>
      </c>
      <c r="I111" s="1">
        <v>553.29999999999995</v>
      </c>
      <c r="J111" s="8" t="str">
        <f t="shared" si="1"/>
        <v>Oct-2024</v>
      </c>
    </row>
    <row r="112" spans="1:10" ht="28.8" x14ac:dyDescent="0.3">
      <c r="A112" s="1" t="s">
        <v>70</v>
      </c>
      <c r="B112" s="1" t="s">
        <v>66</v>
      </c>
      <c r="C112" s="1" t="s">
        <v>18</v>
      </c>
      <c r="D112" s="1" t="s">
        <v>12</v>
      </c>
      <c r="E112" s="1">
        <v>980.18</v>
      </c>
      <c r="F112" s="1">
        <v>16</v>
      </c>
      <c r="G112" s="2">
        <v>0.1</v>
      </c>
      <c r="H112" s="3">
        <v>45582</v>
      </c>
      <c r="I112" s="1">
        <v>352.86</v>
      </c>
      <c r="J112" s="8" t="str">
        <f t="shared" si="1"/>
        <v>Oct-2024</v>
      </c>
    </row>
    <row r="113" spans="1:10" ht="28.8" x14ac:dyDescent="0.3">
      <c r="A113" s="1" t="s">
        <v>74</v>
      </c>
      <c r="B113" s="1" t="s">
        <v>23</v>
      </c>
      <c r="C113" s="1" t="s">
        <v>11</v>
      </c>
      <c r="D113" s="1" t="s">
        <v>15</v>
      </c>
      <c r="E113" s="1">
        <v>697.57</v>
      </c>
      <c r="F113" s="1">
        <v>17</v>
      </c>
      <c r="G113" s="2">
        <v>0.1</v>
      </c>
      <c r="H113" s="3">
        <v>45584</v>
      </c>
      <c r="I113" s="1">
        <v>313.91000000000003</v>
      </c>
      <c r="J113" s="8" t="str">
        <f t="shared" si="1"/>
        <v>Oct-2024</v>
      </c>
    </row>
    <row r="114" spans="1:10" ht="28.8" x14ac:dyDescent="0.3">
      <c r="A114" s="1" t="s">
        <v>46</v>
      </c>
      <c r="B114" s="1" t="s">
        <v>71</v>
      </c>
      <c r="C114" s="1" t="s">
        <v>11</v>
      </c>
      <c r="D114" s="1" t="s">
        <v>27</v>
      </c>
      <c r="E114" s="1">
        <v>1193.6099999999999</v>
      </c>
      <c r="F114" s="1">
        <v>1</v>
      </c>
      <c r="G114" s="2">
        <v>0.15</v>
      </c>
      <c r="H114" s="3">
        <v>45584</v>
      </c>
      <c r="I114" s="1">
        <v>355.1</v>
      </c>
      <c r="J114" s="8" t="str">
        <f t="shared" si="1"/>
        <v>Oct-2024</v>
      </c>
    </row>
    <row r="115" spans="1:10" ht="28.8" x14ac:dyDescent="0.3">
      <c r="A115" s="1" t="s">
        <v>32</v>
      </c>
      <c r="B115" s="1" t="s">
        <v>38</v>
      </c>
      <c r="C115" s="1" t="s">
        <v>20</v>
      </c>
      <c r="D115" s="1" t="s">
        <v>21</v>
      </c>
      <c r="E115" s="1">
        <v>771.02</v>
      </c>
      <c r="F115" s="1">
        <v>1</v>
      </c>
      <c r="G115" s="2">
        <v>0</v>
      </c>
      <c r="H115" s="3">
        <v>45585</v>
      </c>
      <c r="I115" s="1">
        <v>192.76</v>
      </c>
      <c r="J115" s="8" t="str">
        <f t="shared" si="1"/>
        <v>Oct-2024</v>
      </c>
    </row>
    <row r="116" spans="1:10" ht="28.8" x14ac:dyDescent="0.3">
      <c r="A116" s="1" t="s">
        <v>67</v>
      </c>
      <c r="B116" s="1" t="s">
        <v>69</v>
      </c>
      <c r="C116" s="1" t="s">
        <v>24</v>
      </c>
      <c r="D116" s="1" t="s">
        <v>15</v>
      </c>
      <c r="E116" s="1">
        <v>661.09</v>
      </c>
      <c r="F116" s="1">
        <v>1</v>
      </c>
      <c r="G116" s="2">
        <v>0.2</v>
      </c>
      <c r="H116" s="3">
        <v>45593</v>
      </c>
      <c r="I116" s="1">
        <v>264.44</v>
      </c>
      <c r="J116" s="8" t="str">
        <f t="shared" si="1"/>
        <v>Oct-2024</v>
      </c>
    </row>
    <row r="117" spans="1:10" ht="28.8" x14ac:dyDescent="0.3">
      <c r="A117" s="1" t="s">
        <v>13</v>
      </c>
      <c r="B117" s="1" t="s">
        <v>55</v>
      </c>
      <c r="C117" s="1" t="s">
        <v>11</v>
      </c>
      <c r="D117" s="1" t="s">
        <v>21</v>
      </c>
      <c r="E117" s="1">
        <v>688.83</v>
      </c>
      <c r="F117" s="1">
        <v>15</v>
      </c>
      <c r="G117" s="2">
        <v>0</v>
      </c>
      <c r="H117" s="3">
        <v>45595</v>
      </c>
      <c r="I117" s="1">
        <v>172.21</v>
      </c>
      <c r="J117" s="8" t="str">
        <f t="shared" si="1"/>
        <v>Oct-2024</v>
      </c>
    </row>
    <row r="118" spans="1:10" ht="28.8" x14ac:dyDescent="0.3">
      <c r="A118" s="1" t="s">
        <v>73</v>
      </c>
      <c r="B118" s="1" t="s">
        <v>29</v>
      </c>
      <c r="C118" s="1" t="s">
        <v>34</v>
      </c>
      <c r="D118" s="1" t="s">
        <v>12</v>
      </c>
      <c r="E118" s="1">
        <v>1249.0999999999999</v>
      </c>
      <c r="F118" s="1">
        <v>4</v>
      </c>
      <c r="G118" s="2">
        <v>0.05</v>
      </c>
      <c r="H118" s="3">
        <v>45597</v>
      </c>
      <c r="I118" s="1">
        <v>474.66</v>
      </c>
      <c r="J118" s="8" t="str">
        <f t="shared" si="1"/>
        <v>Nov-2024</v>
      </c>
    </row>
    <row r="119" spans="1:10" ht="28.8" x14ac:dyDescent="0.3">
      <c r="A119" s="1" t="s">
        <v>44</v>
      </c>
      <c r="B119" s="1" t="s">
        <v>23</v>
      </c>
      <c r="C119" s="1" t="s">
        <v>18</v>
      </c>
      <c r="D119" s="1" t="s">
        <v>39</v>
      </c>
      <c r="E119" s="1">
        <v>1014.22</v>
      </c>
      <c r="F119" s="1">
        <v>14</v>
      </c>
      <c r="G119" s="2">
        <v>0.05</v>
      </c>
      <c r="H119" s="3">
        <v>45599</v>
      </c>
      <c r="I119" s="1">
        <v>433.58</v>
      </c>
      <c r="J119" s="8" t="str">
        <f t="shared" si="1"/>
        <v>Nov-2024</v>
      </c>
    </row>
    <row r="120" spans="1:10" x14ac:dyDescent="0.3">
      <c r="A120" s="1" t="s">
        <v>54</v>
      </c>
      <c r="B120" s="1" t="s">
        <v>48</v>
      </c>
      <c r="C120" s="1" t="s">
        <v>18</v>
      </c>
      <c r="D120" s="1" t="s">
        <v>12</v>
      </c>
      <c r="E120" s="1">
        <v>1010.58</v>
      </c>
      <c r="F120" s="1">
        <v>2</v>
      </c>
      <c r="G120" s="2">
        <v>0.15</v>
      </c>
      <c r="H120" s="3">
        <v>45605</v>
      </c>
      <c r="I120" s="1">
        <v>343.6</v>
      </c>
      <c r="J120" s="8" t="str">
        <f t="shared" si="1"/>
        <v>Nov-2024</v>
      </c>
    </row>
    <row r="121" spans="1:10" ht="28.8" x14ac:dyDescent="0.3">
      <c r="A121" s="1" t="s">
        <v>30</v>
      </c>
      <c r="B121" s="1" t="s">
        <v>59</v>
      </c>
      <c r="C121" s="1" t="s">
        <v>24</v>
      </c>
      <c r="D121" s="1" t="s">
        <v>27</v>
      </c>
      <c r="E121" s="1">
        <v>957.29</v>
      </c>
      <c r="F121" s="1">
        <v>4</v>
      </c>
      <c r="G121" s="2">
        <v>0.05</v>
      </c>
      <c r="H121" s="3">
        <v>45605</v>
      </c>
      <c r="I121" s="1">
        <v>318.3</v>
      </c>
      <c r="J121" s="8" t="str">
        <f t="shared" si="1"/>
        <v>Nov-2024</v>
      </c>
    </row>
    <row r="122" spans="1:10" ht="28.8" x14ac:dyDescent="0.3">
      <c r="A122" s="1" t="s">
        <v>28</v>
      </c>
      <c r="B122" s="1" t="s">
        <v>45</v>
      </c>
      <c r="C122" s="1" t="s">
        <v>24</v>
      </c>
      <c r="D122" s="1" t="s">
        <v>27</v>
      </c>
      <c r="E122" s="1">
        <v>1077.92</v>
      </c>
      <c r="F122" s="1">
        <v>3</v>
      </c>
      <c r="G122" s="2">
        <v>0.05</v>
      </c>
      <c r="H122" s="3">
        <v>45608</v>
      </c>
      <c r="I122" s="1">
        <v>358.41</v>
      </c>
      <c r="J122" s="8" t="str">
        <f t="shared" si="1"/>
        <v>Nov-2024</v>
      </c>
    </row>
    <row r="123" spans="1:10" ht="28.8" x14ac:dyDescent="0.3">
      <c r="A123" s="1" t="s">
        <v>52</v>
      </c>
      <c r="B123" s="1" t="s">
        <v>50</v>
      </c>
      <c r="C123" s="1" t="s">
        <v>20</v>
      </c>
      <c r="D123" s="1" t="s">
        <v>15</v>
      </c>
      <c r="E123" s="1">
        <v>1163.01</v>
      </c>
      <c r="F123" s="1">
        <v>5</v>
      </c>
      <c r="G123" s="2">
        <v>0</v>
      </c>
      <c r="H123" s="3">
        <v>45611</v>
      </c>
      <c r="I123" s="1">
        <v>581.5</v>
      </c>
      <c r="J123" s="8" t="str">
        <f t="shared" si="1"/>
        <v>Nov-2024</v>
      </c>
    </row>
    <row r="124" spans="1:10" ht="28.8" x14ac:dyDescent="0.3">
      <c r="A124" s="1" t="s">
        <v>54</v>
      </c>
      <c r="B124" s="1" t="s">
        <v>45</v>
      </c>
      <c r="C124" s="1" t="s">
        <v>18</v>
      </c>
      <c r="D124" s="1" t="s">
        <v>39</v>
      </c>
      <c r="E124" s="1">
        <v>1014.56</v>
      </c>
      <c r="F124" s="1">
        <v>10</v>
      </c>
      <c r="G124" s="2">
        <v>0.1</v>
      </c>
      <c r="H124" s="3">
        <v>45612</v>
      </c>
      <c r="I124" s="1">
        <v>410.9</v>
      </c>
      <c r="J124" s="8" t="str">
        <f t="shared" si="1"/>
        <v>Nov-2024</v>
      </c>
    </row>
    <row r="125" spans="1:10" ht="28.8" x14ac:dyDescent="0.3">
      <c r="A125" s="1" t="s">
        <v>9</v>
      </c>
      <c r="B125" s="1" t="s">
        <v>17</v>
      </c>
      <c r="C125" s="1" t="s">
        <v>20</v>
      </c>
      <c r="D125" s="1" t="s">
        <v>21</v>
      </c>
      <c r="E125" s="1">
        <v>718.04</v>
      </c>
      <c r="F125" s="1">
        <v>14</v>
      </c>
      <c r="G125" s="2">
        <v>0</v>
      </c>
      <c r="H125" s="3">
        <v>45613</v>
      </c>
      <c r="I125" s="1">
        <v>179.51</v>
      </c>
      <c r="J125" s="8" t="str">
        <f t="shared" si="1"/>
        <v>Nov-2024</v>
      </c>
    </row>
    <row r="126" spans="1:10" ht="28.8" x14ac:dyDescent="0.3">
      <c r="A126" s="1" t="s">
        <v>72</v>
      </c>
      <c r="B126" s="1" t="s">
        <v>17</v>
      </c>
      <c r="C126" s="1" t="s">
        <v>34</v>
      </c>
      <c r="D126" s="1" t="s">
        <v>15</v>
      </c>
      <c r="E126" s="1">
        <v>1277.8499999999999</v>
      </c>
      <c r="F126" s="1">
        <v>18</v>
      </c>
      <c r="G126" s="2">
        <v>0.2</v>
      </c>
      <c r="H126" s="3">
        <v>45613</v>
      </c>
      <c r="I126" s="1">
        <v>511.14</v>
      </c>
      <c r="J126" s="8" t="str">
        <f t="shared" si="1"/>
        <v>Nov-2024</v>
      </c>
    </row>
    <row r="127" spans="1:10" ht="28.8" x14ac:dyDescent="0.3">
      <c r="A127" s="1" t="s">
        <v>70</v>
      </c>
      <c r="B127" s="1" t="s">
        <v>23</v>
      </c>
      <c r="C127" s="1" t="s">
        <v>24</v>
      </c>
      <c r="D127" s="1" t="s">
        <v>21</v>
      </c>
      <c r="E127" s="1">
        <v>706.73</v>
      </c>
      <c r="F127" s="1">
        <v>1</v>
      </c>
      <c r="G127" s="2">
        <v>0.15</v>
      </c>
      <c r="H127" s="3">
        <v>45613</v>
      </c>
      <c r="I127" s="1">
        <v>150.18</v>
      </c>
      <c r="J127" s="8" t="str">
        <f t="shared" si="1"/>
        <v>Nov-2024</v>
      </c>
    </row>
    <row r="128" spans="1:10" ht="28.8" x14ac:dyDescent="0.3">
      <c r="A128" s="1" t="s">
        <v>65</v>
      </c>
      <c r="B128" s="1" t="s">
        <v>50</v>
      </c>
      <c r="C128" s="1" t="s">
        <v>18</v>
      </c>
      <c r="D128" s="1" t="s">
        <v>21</v>
      </c>
      <c r="E128" s="1">
        <v>1410.59</v>
      </c>
      <c r="F128" s="1">
        <v>15</v>
      </c>
      <c r="G128" s="2">
        <v>0</v>
      </c>
      <c r="H128" s="3">
        <v>45615</v>
      </c>
      <c r="I128" s="1">
        <v>352.65</v>
      </c>
      <c r="J128" s="8" t="str">
        <f t="shared" si="1"/>
        <v>Nov-2024</v>
      </c>
    </row>
    <row r="129" spans="1:10" ht="28.8" x14ac:dyDescent="0.3">
      <c r="A129" s="1" t="s">
        <v>32</v>
      </c>
      <c r="B129" s="1" t="s">
        <v>61</v>
      </c>
      <c r="C129" s="1" t="s">
        <v>20</v>
      </c>
      <c r="D129" s="1" t="s">
        <v>27</v>
      </c>
      <c r="E129" s="1">
        <v>1350.33</v>
      </c>
      <c r="F129" s="1">
        <v>10</v>
      </c>
      <c r="G129" s="2">
        <v>0</v>
      </c>
      <c r="H129" s="3">
        <v>45615</v>
      </c>
      <c r="I129" s="1">
        <v>472.62</v>
      </c>
      <c r="J129" s="8" t="str">
        <f t="shared" si="1"/>
        <v>Nov-2024</v>
      </c>
    </row>
    <row r="130" spans="1:10" ht="28.8" x14ac:dyDescent="0.3">
      <c r="A130" s="1" t="s">
        <v>41</v>
      </c>
      <c r="B130" s="1" t="s">
        <v>45</v>
      </c>
      <c r="C130" s="1" t="s">
        <v>18</v>
      </c>
      <c r="D130" s="1" t="s">
        <v>21</v>
      </c>
      <c r="E130" s="1">
        <v>919.18</v>
      </c>
      <c r="F130" s="1">
        <v>4</v>
      </c>
      <c r="G130" s="2">
        <v>0.15</v>
      </c>
      <c r="H130" s="3">
        <v>45615</v>
      </c>
      <c r="I130" s="1">
        <v>195.33</v>
      </c>
      <c r="J130" s="8" t="str">
        <f t="shared" si="1"/>
        <v>Nov-2024</v>
      </c>
    </row>
    <row r="131" spans="1:10" ht="28.8" x14ac:dyDescent="0.3">
      <c r="A131" s="1" t="s">
        <v>74</v>
      </c>
      <c r="B131" s="1" t="s">
        <v>23</v>
      </c>
      <c r="C131" s="1" t="s">
        <v>11</v>
      </c>
      <c r="D131" s="1" t="s">
        <v>21</v>
      </c>
      <c r="E131" s="1">
        <v>258.51</v>
      </c>
      <c r="F131" s="1">
        <v>19</v>
      </c>
      <c r="G131" s="2">
        <v>0</v>
      </c>
      <c r="H131" s="3">
        <v>45616</v>
      </c>
      <c r="I131" s="1">
        <v>64.63</v>
      </c>
      <c r="J131" s="8" t="str">
        <f t="shared" ref="J131:J194" si="2">TEXT(H131,"mmm-yyy")</f>
        <v>Nov-2024</v>
      </c>
    </row>
    <row r="132" spans="1:10" ht="28.8" x14ac:dyDescent="0.3">
      <c r="A132" s="1" t="s">
        <v>63</v>
      </c>
      <c r="B132" s="1" t="s">
        <v>61</v>
      </c>
      <c r="C132" s="1" t="s">
        <v>18</v>
      </c>
      <c r="D132" s="1" t="s">
        <v>12</v>
      </c>
      <c r="E132" s="1">
        <v>1213.48</v>
      </c>
      <c r="F132" s="1">
        <v>5</v>
      </c>
      <c r="G132" s="2">
        <v>0.05</v>
      </c>
      <c r="H132" s="3">
        <v>45616</v>
      </c>
      <c r="I132" s="1">
        <v>461.12</v>
      </c>
      <c r="J132" s="8" t="str">
        <f t="shared" si="2"/>
        <v>Nov-2024</v>
      </c>
    </row>
    <row r="133" spans="1:10" ht="28.8" x14ac:dyDescent="0.3">
      <c r="A133" s="1" t="s">
        <v>57</v>
      </c>
      <c r="B133" s="1" t="s">
        <v>38</v>
      </c>
      <c r="C133" s="1" t="s">
        <v>34</v>
      </c>
      <c r="D133" s="1" t="s">
        <v>12</v>
      </c>
      <c r="E133" s="1">
        <v>1150.28</v>
      </c>
      <c r="F133" s="1">
        <v>8</v>
      </c>
      <c r="G133" s="2">
        <v>0.05</v>
      </c>
      <c r="H133" s="3">
        <v>45622</v>
      </c>
      <c r="I133" s="1">
        <v>437.11</v>
      </c>
      <c r="J133" s="8" t="str">
        <f t="shared" si="2"/>
        <v>Nov-2024</v>
      </c>
    </row>
    <row r="134" spans="1:10" ht="28.8" x14ac:dyDescent="0.3">
      <c r="A134" s="1" t="s">
        <v>37</v>
      </c>
      <c r="B134" s="1" t="s">
        <v>71</v>
      </c>
      <c r="C134" s="1" t="s">
        <v>20</v>
      </c>
      <c r="D134" s="1" t="s">
        <v>27</v>
      </c>
      <c r="E134" s="1">
        <v>853.86</v>
      </c>
      <c r="F134" s="1">
        <v>8</v>
      </c>
      <c r="G134" s="2">
        <v>0.1</v>
      </c>
      <c r="H134" s="3">
        <v>45622</v>
      </c>
      <c r="I134" s="1">
        <v>268.97000000000003</v>
      </c>
      <c r="J134" s="8" t="str">
        <f t="shared" si="2"/>
        <v>Nov-2024</v>
      </c>
    </row>
    <row r="135" spans="1:10" ht="28.8" x14ac:dyDescent="0.3">
      <c r="A135" s="1" t="s">
        <v>75</v>
      </c>
      <c r="B135" s="1" t="s">
        <v>45</v>
      </c>
      <c r="C135" s="1" t="s">
        <v>20</v>
      </c>
      <c r="D135" s="1" t="s">
        <v>21</v>
      </c>
      <c r="E135" s="1">
        <v>1061.04</v>
      </c>
      <c r="F135" s="1">
        <v>1</v>
      </c>
      <c r="G135" s="2">
        <v>0</v>
      </c>
      <c r="H135" s="3">
        <v>45624</v>
      </c>
      <c r="I135" s="1">
        <v>265.26</v>
      </c>
      <c r="J135" s="8" t="str">
        <f t="shared" si="2"/>
        <v>Nov-2024</v>
      </c>
    </row>
    <row r="136" spans="1:10" ht="28.8" x14ac:dyDescent="0.3">
      <c r="A136" s="1" t="s">
        <v>28</v>
      </c>
      <c r="B136" s="1" t="s">
        <v>43</v>
      </c>
      <c r="C136" s="1" t="s">
        <v>11</v>
      </c>
      <c r="D136" s="1" t="s">
        <v>21</v>
      </c>
      <c r="E136" s="1">
        <v>894.55</v>
      </c>
      <c r="F136" s="1">
        <v>19</v>
      </c>
      <c r="G136" s="2">
        <v>0.2</v>
      </c>
      <c r="H136" s="3">
        <v>45625</v>
      </c>
      <c r="I136" s="1">
        <v>178.91</v>
      </c>
      <c r="J136" s="8" t="str">
        <f t="shared" si="2"/>
        <v>Nov-2024</v>
      </c>
    </row>
    <row r="137" spans="1:10" ht="28.8" x14ac:dyDescent="0.3">
      <c r="A137" s="1" t="s">
        <v>25</v>
      </c>
      <c r="B137" s="1" t="s">
        <v>38</v>
      </c>
      <c r="C137" s="1" t="s">
        <v>24</v>
      </c>
      <c r="D137" s="1" t="s">
        <v>39</v>
      </c>
      <c r="E137" s="1">
        <v>833.91</v>
      </c>
      <c r="F137" s="1">
        <v>3</v>
      </c>
      <c r="G137" s="2">
        <v>0.05</v>
      </c>
      <c r="H137" s="3">
        <v>45626</v>
      </c>
      <c r="I137" s="1">
        <v>356.5</v>
      </c>
      <c r="J137" s="8" t="str">
        <f t="shared" si="2"/>
        <v>Nov-2024</v>
      </c>
    </row>
    <row r="138" spans="1:10" ht="28.8" x14ac:dyDescent="0.3">
      <c r="A138" s="1" t="s">
        <v>58</v>
      </c>
      <c r="B138" s="1" t="s">
        <v>71</v>
      </c>
      <c r="C138" s="1" t="s">
        <v>11</v>
      </c>
      <c r="D138" s="1" t="s">
        <v>27</v>
      </c>
      <c r="E138" s="1">
        <v>820.19</v>
      </c>
      <c r="F138" s="1">
        <v>4</v>
      </c>
      <c r="G138" s="2">
        <v>0.2</v>
      </c>
      <c r="H138" s="3">
        <v>45630</v>
      </c>
      <c r="I138" s="1">
        <v>229.65</v>
      </c>
      <c r="J138" s="8" t="str">
        <f t="shared" si="2"/>
        <v>Dec-2024</v>
      </c>
    </row>
    <row r="139" spans="1:10" ht="28.8" x14ac:dyDescent="0.3">
      <c r="A139" s="1" t="s">
        <v>58</v>
      </c>
      <c r="B139" s="1" t="s">
        <v>38</v>
      </c>
      <c r="C139" s="1" t="s">
        <v>34</v>
      </c>
      <c r="D139" s="1" t="s">
        <v>21</v>
      </c>
      <c r="E139" s="1">
        <v>511.74</v>
      </c>
      <c r="F139" s="1">
        <v>8</v>
      </c>
      <c r="G139" s="2">
        <v>0.05</v>
      </c>
      <c r="H139" s="3">
        <v>45631</v>
      </c>
      <c r="I139" s="1">
        <v>121.54</v>
      </c>
      <c r="J139" s="8" t="str">
        <f t="shared" si="2"/>
        <v>Dec-2024</v>
      </c>
    </row>
    <row r="140" spans="1:10" ht="28.8" x14ac:dyDescent="0.3">
      <c r="A140" s="1" t="s">
        <v>65</v>
      </c>
      <c r="B140" s="1" t="s">
        <v>61</v>
      </c>
      <c r="C140" s="1" t="s">
        <v>20</v>
      </c>
      <c r="D140" s="1" t="s">
        <v>27</v>
      </c>
      <c r="E140" s="1">
        <v>806.03</v>
      </c>
      <c r="F140" s="1">
        <v>19</v>
      </c>
      <c r="G140" s="2">
        <v>0.05</v>
      </c>
      <c r="H140" s="3">
        <v>45638</v>
      </c>
      <c r="I140" s="1">
        <v>268</v>
      </c>
      <c r="J140" s="8" t="str">
        <f t="shared" si="2"/>
        <v>Dec-2024</v>
      </c>
    </row>
    <row r="141" spans="1:10" ht="28.8" x14ac:dyDescent="0.3">
      <c r="A141" s="1" t="s">
        <v>28</v>
      </c>
      <c r="B141" s="1" t="s">
        <v>26</v>
      </c>
      <c r="C141" s="1" t="s">
        <v>34</v>
      </c>
      <c r="D141" s="1" t="s">
        <v>27</v>
      </c>
      <c r="E141" s="1">
        <v>1432.47</v>
      </c>
      <c r="F141" s="1">
        <v>16</v>
      </c>
      <c r="G141" s="2">
        <v>0.15</v>
      </c>
      <c r="H141" s="3">
        <v>45640</v>
      </c>
      <c r="I141" s="1">
        <v>426.16</v>
      </c>
      <c r="J141" s="8" t="str">
        <f t="shared" si="2"/>
        <v>Dec-2024</v>
      </c>
    </row>
    <row r="142" spans="1:10" ht="28.8" x14ac:dyDescent="0.3">
      <c r="A142" s="1" t="s">
        <v>74</v>
      </c>
      <c r="B142" s="1" t="s">
        <v>29</v>
      </c>
      <c r="C142" s="1" t="s">
        <v>34</v>
      </c>
      <c r="D142" s="1" t="s">
        <v>21</v>
      </c>
      <c r="E142" s="1">
        <v>1488.58</v>
      </c>
      <c r="F142" s="1">
        <v>10</v>
      </c>
      <c r="G142" s="2">
        <v>0.15</v>
      </c>
      <c r="H142" s="3">
        <v>45640</v>
      </c>
      <c r="I142" s="1">
        <v>316.32</v>
      </c>
      <c r="J142" s="8" t="str">
        <f t="shared" si="2"/>
        <v>Dec-2024</v>
      </c>
    </row>
    <row r="143" spans="1:10" ht="28.8" x14ac:dyDescent="0.3">
      <c r="A143" s="1" t="s">
        <v>30</v>
      </c>
      <c r="B143" s="1" t="s">
        <v>66</v>
      </c>
      <c r="C143" s="1" t="s">
        <v>18</v>
      </c>
      <c r="D143" s="1" t="s">
        <v>12</v>
      </c>
      <c r="E143" s="1">
        <v>1231.26</v>
      </c>
      <c r="F143" s="1">
        <v>9</v>
      </c>
      <c r="G143" s="2">
        <v>0</v>
      </c>
      <c r="H143" s="3">
        <v>45646</v>
      </c>
      <c r="I143" s="1">
        <v>492.5</v>
      </c>
      <c r="J143" s="8" t="str">
        <f t="shared" si="2"/>
        <v>Dec-2024</v>
      </c>
    </row>
    <row r="144" spans="1:10" ht="28.8" x14ac:dyDescent="0.3">
      <c r="A144" s="1" t="s">
        <v>30</v>
      </c>
      <c r="B144" s="1" t="s">
        <v>43</v>
      </c>
      <c r="C144" s="1" t="s">
        <v>11</v>
      </c>
      <c r="D144" s="1" t="s">
        <v>21</v>
      </c>
      <c r="E144" s="1">
        <v>1161.67</v>
      </c>
      <c r="F144" s="1">
        <v>19</v>
      </c>
      <c r="G144" s="2">
        <v>0.2</v>
      </c>
      <c r="H144" s="3">
        <v>45647</v>
      </c>
      <c r="I144" s="1">
        <v>232.33</v>
      </c>
      <c r="J144" s="8" t="str">
        <f t="shared" si="2"/>
        <v>Dec-2024</v>
      </c>
    </row>
    <row r="145" spans="1:10" ht="28.8" x14ac:dyDescent="0.3">
      <c r="A145" s="1" t="s">
        <v>49</v>
      </c>
      <c r="B145" s="1" t="s">
        <v>45</v>
      </c>
      <c r="C145" s="1" t="s">
        <v>34</v>
      </c>
      <c r="D145" s="1" t="s">
        <v>39</v>
      </c>
      <c r="E145" s="1">
        <v>388.23</v>
      </c>
      <c r="F145" s="1">
        <v>16</v>
      </c>
      <c r="G145" s="2">
        <v>0.05</v>
      </c>
      <c r="H145" s="3">
        <v>45650</v>
      </c>
      <c r="I145" s="1">
        <v>165.97</v>
      </c>
      <c r="J145" s="8" t="str">
        <f t="shared" si="2"/>
        <v>Dec-2024</v>
      </c>
    </row>
    <row r="146" spans="1:10" ht="28.8" x14ac:dyDescent="0.3">
      <c r="A146" s="1" t="s">
        <v>72</v>
      </c>
      <c r="B146" s="1" t="s">
        <v>31</v>
      </c>
      <c r="C146" s="1" t="s">
        <v>24</v>
      </c>
      <c r="D146" s="1" t="s">
        <v>15</v>
      </c>
      <c r="E146" s="1">
        <v>1589.42</v>
      </c>
      <c r="F146" s="1">
        <v>6</v>
      </c>
      <c r="G146" s="2">
        <v>0.15</v>
      </c>
      <c r="H146" s="3">
        <v>45651</v>
      </c>
      <c r="I146" s="1">
        <v>675.5</v>
      </c>
      <c r="J146" s="8" t="str">
        <f t="shared" si="2"/>
        <v>Dec-2024</v>
      </c>
    </row>
    <row r="147" spans="1:10" ht="28.8" x14ac:dyDescent="0.3">
      <c r="A147" s="1" t="s">
        <v>28</v>
      </c>
      <c r="B147" s="1" t="s">
        <v>71</v>
      </c>
      <c r="C147" s="1" t="s">
        <v>24</v>
      </c>
      <c r="D147" s="1" t="s">
        <v>15</v>
      </c>
      <c r="E147" s="1">
        <v>336.66</v>
      </c>
      <c r="F147" s="1">
        <v>13</v>
      </c>
      <c r="G147" s="2">
        <v>0.2</v>
      </c>
      <c r="H147" s="3">
        <v>45651</v>
      </c>
      <c r="I147" s="1">
        <v>134.66</v>
      </c>
      <c r="J147" s="8" t="str">
        <f t="shared" si="2"/>
        <v>Dec-2024</v>
      </c>
    </row>
    <row r="148" spans="1:10" ht="28.8" x14ac:dyDescent="0.3">
      <c r="A148" s="1" t="s">
        <v>49</v>
      </c>
      <c r="B148" s="1" t="s">
        <v>23</v>
      </c>
      <c r="C148" s="1" t="s">
        <v>11</v>
      </c>
      <c r="D148" s="1" t="s">
        <v>12</v>
      </c>
      <c r="E148" s="1">
        <v>1353.79</v>
      </c>
      <c r="F148" s="1">
        <v>14</v>
      </c>
      <c r="G148" s="2">
        <v>0.1</v>
      </c>
      <c r="H148" s="3">
        <v>45656</v>
      </c>
      <c r="I148" s="1">
        <v>487.36</v>
      </c>
      <c r="J148" s="8" t="str">
        <f t="shared" si="2"/>
        <v>Dec-2024</v>
      </c>
    </row>
    <row r="149" spans="1:10" ht="28.8" x14ac:dyDescent="0.3">
      <c r="A149" s="1" t="s">
        <v>63</v>
      </c>
      <c r="B149" s="1" t="s">
        <v>69</v>
      </c>
      <c r="C149" s="1" t="s">
        <v>34</v>
      </c>
      <c r="D149" s="1" t="s">
        <v>15</v>
      </c>
      <c r="E149" s="1">
        <v>662.61</v>
      </c>
      <c r="F149" s="1">
        <v>11</v>
      </c>
      <c r="G149" s="2">
        <v>0.05</v>
      </c>
      <c r="H149" s="3">
        <v>45658</v>
      </c>
      <c r="I149" s="1">
        <v>314.74</v>
      </c>
      <c r="J149" s="8" t="str">
        <f t="shared" si="2"/>
        <v>Jan-2025</v>
      </c>
    </row>
    <row r="150" spans="1:10" ht="28.8" x14ac:dyDescent="0.3">
      <c r="A150" s="1" t="s">
        <v>52</v>
      </c>
      <c r="B150" s="1" t="s">
        <v>48</v>
      </c>
      <c r="C150" s="1" t="s">
        <v>24</v>
      </c>
      <c r="D150" s="1" t="s">
        <v>39</v>
      </c>
      <c r="E150" s="1">
        <v>309.42</v>
      </c>
      <c r="F150" s="1">
        <v>1</v>
      </c>
      <c r="G150" s="2">
        <v>0.2</v>
      </c>
      <c r="H150" s="3">
        <v>45658</v>
      </c>
      <c r="I150" s="1">
        <v>111.39</v>
      </c>
      <c r="J150" s="8" t="str">
        <f t="shared" si="2"/>
        <v>Jan-2025</v>
      </c>
    </row>
    <row r="151" spans="1:10" ht="28.8" x14ac:dyDescent="0.3">
      <c r="A151" s="1" t="s">
        <v>63</v>
      </c>
      <c r="B151" s="1" t="s">
        <v>29</v>
      </c>
      <c r="C151" s="1" t="s">
        <v>24</v>
      </c>
      <c r="D151" s="1" t="s">
        <v>12</v>
      </c>
      <c r="E151" s="1">
        <v>884.63</v>
      </c>
      <c r="F151" s="1">
        <v>18</v>
      </c>
      <c r="G151" s="2">
        <v>0.1</v>
      </c>
      <c r="H151" s="3">
        <v>45659</v>
      </c>
      <c r="I151" s="1">
        <v>318.47000000000003</v>
      </c>
      <c r="J151" s="8" t="str">
        <f t="shared" si="2"/>
        <v>Jan-2025</v>
      </c>
    </row>
    <row r="152" spans="1:10" ht="28.8" x14ac:dyDescent="0.3">
      <c r="A152" s="1" t="s">
        <v>52</v>
      </c>
      <c r="B152" s="1" t="s">
        <v>23</v>
      </c>
      <c r="C152" s="1" t="s">
        <v>34</v>
      </c>
      <c r="D152" s="1" t="s">
        <v>39</v>
      </c>
      <c r="E152" s="1">
        <v>745.05</v>
      </c>
      <c r="F152" s="1">
        <v>10</v>
      </c>
      <c r="G152" s="2">
        <v>0.1</v>
      </c>
      <c r="H152" s="3">
        <v>45660</v>
      </c>
      <c r="I152" s="1">
        <v>301.75</v>
      </c>
      <c r="J152" s="8" t="str">
        <f t="shared" si="2"/>
        <v>Jan-2025</v>
      </c>
    </row>
    <row r="153" spans="1:10" ht="28.8" x14ac:dyDescent="0.3">
      <c r="A153" s="1" t="s">
        <v>60</v>
      </c>
      <c r="B153" s="1" t="s">
        <v>17</v>
      </c>
      <c r="C153" s="1" t="s">
        <v>20</v>
      </c>
      <c r="D153" s="1" t="s">
        <v>15</v>
      </c>
      <c r="E153" s="1">
        <v>870.23</v>
      </c>
      <c r="F153" s="1">
        <v>5</v>
      </c>
      <c r="G153" s="2">
        <v>0.05</v>
      </c>
      <c r="H153" s="3">
        <v>45660</v>
      </c>
      <c r="I153" s="1">
        <v>413.36</v>
      </c>
      <c r="J153" s="8" t="str">
        <f t="shared" si="2"/>
        <v>Jan-2025</v>
      </c>
    </row>
    <row r="154" spans="1:10" ht="28.8" x14ac:dyDescent="0.3">
      <c r="A154" s="1" t="s">
        <v>35</v>
      </c>
      <c r="B154" s="1" t="s">
        <v>29</v>
      </c>
      <c r="C154" s="1" t="s">
        <v>11</v>
      </c>
      <c r="D154" s="1" t="s">
        <v>27</v>
      </c>
      <c r="E154" s="1">
        <v>862.19</v>
      </c>
      <c r="F154" s="1">
        <v>18</v>
      </c>
      <c r="G154" s="2">
        <v>0.05</v>
      </c>
      <c r="H154" s="3">
        <v>45663</v>
      </c>
      <c r="I154" s="1">
        <v>286.68</v>
      </c>
      <c r="J154" s="8" t="str">
        <f t="shared" si="2"/>
        <v>Jan-2025</v>
      </c>
    </row>
    <row r="155" spans="1:10" ht="28.8" x14ac:dyDescent="0.3">
      <c r="A155" s="1" t="s">
        <v>73</v>
      </c>
      <c r="B155" s="1" t="s">
        <v>59</v>
      </c>
      <c r="C155" s="1" t="s">
        <v>24</v>
      </c>
      <c r="D155" s="1" t="s">
        <v>15</v>
      </c>
      <c r="E155" s="1">
        <v>1171.18</v>
      </c>
      <c r="F155" s="1">
        <v>19</v>
      </c>
      <c r="G155" s="2">
        <v>0.05</v>
      </c>
      <c r="H155" s="3">
        <v>45667</v>
      </c>
      <c r="I155" s="1">
        <v>556.30999999999995</v>
      </c>
      <c r="J155" s="8" t="str">
        <f t="shared" si="2"/>
        <v>Jan-2025</v>
      </c>
    </row>
    <row r="156" spans="1:10" ht="28.8" x14ac:dyDescent="0.3">
      <c r="A156" s="1" t="s">
        <v>58</v>
      </c>
      <c r="B156" s="1" t="s">
        <v>14</v>
      </c>
      <c r="C156" s="1" t="s">
        <v>20</v>
      </c>
      <c r="D156" s="1" t="s">
        <v>27</v>
      </c>
      <c r="E156" s="1">
        <v>1054.56</v>
      </c>
      <c r="F156" s="1">
        <v>11</v>
      </c>
      <c r="G156" s="2">
        <v>0.1</v>
      </c>
      <c r="H156" s="3">
        <v>45669</v>
      </c>
      <c r="I156" s="1">
        <v>332.19</v>
      </c>
      <c r="J156" s="8" t="str">
        <f t="shared" si="2"/>
        <v>Jan-2025</v>
      </c>
    </row>
    <row r="157" spans="1:10" ht="28.8" x14ac:dyDescent="0.3">
      <c r="A157" s="1" t="s">
        <v>58</v>
      </c>
      <c r="B157" s="1" t="s">
        <v>23</v>
      </c>
      <c r="C157" s="1" t="s">
        <v>24</v>
      </c>
      <c r="D157" s="1" t="s">
        <v>21</v>
      </c>
      <c r="E157" s="1">
        <v>1681.21</v>
      </c>
      <c r="F157" s="1">
        <v>5</v>
      </c>
      <c r="G157" s="2">
        <v>0.2</v>
      </c>
      <c r="H157" s="3">
        <v>45670</v>
      </c>
      <c r="I157" s="1">
        <v>336.24</v>
      </c>
      <c r="J157" s="8" t="str">
        <f t="shared" si="2"/>
        <v>Jan-2025</v>
      </c>
    </row>
    <row r="158" spans="1:10" ht="28.8" x14ac:dyDescent="0.3">
      <c r="A158" s="1" t="s">
        <v>58</v>
      </c>
      <c r="B158" s="1" t="s">
        <v>36</v>
      </c>
      <c r="C158" s="1" t="s">
        <v>11</v>
      </c>
      <c r="D158" s="1" t="s">
        <v>15</v>
      </c>
      <c r="E158" s="1">
        <v>379.77</v>
      </c>
      <c r="F158" s="1">
        <v>9</v>
      </c>
      <c r="G158" s="2">
        <v>0.05</v>
      </c>
      <c r="H158" s="3">
        <v>45673</v>
      </c>
      <c r="I158" s="1">
        <v>180.39</v>
      </c>
      <c r="J158" s="8" t="str">
        <f t="shared" si="2"/>
        <v>Jan-2025</v>
      </c>
    </row>
    <row r="159" spans="1:10" ht="28.8" x14ac:dyDescent="0.3">
      <c r="A159" s="1" t="s">
        <v>44</v>
      </c>
      <c r="B159" s="1" t="s">
        <v>45</v>
      </c>
      <c r="C159" s="1" t="s">
        <v>34</v>
      </c>
      <c r="D159" s="1" t="s">
        <v>15</v>
      </c>
      <c r="E159" s="1">
        <v>1076.33</v>
      </c>
      <c r="F159" s="1">
        <v>2</v>
      </c>
      <c r="G159" s="2">
        <v>0.1</v>
      </c>
      <c r="H159" s="3">
        <v>45674</v>
      </c>
      <c r="I159" s="1">
        <v>484.35</v>
      </c>
      <c r="J159" s="8" t="str">
        <f t="shared" si="2"/>
        <v>Jan-2025</v>
      </c>
    </row>
    <row r="160" spans="1:10" ht="28.8" x14ac:dyDescent="0.3">
      <c r="A160" s="1" t="s">
        <v>44</v>
      </c>
      <c r="B160" s="1" t="s">
        <v>31</v>
      </c>
      <c r="C160" s="1" t="s">
        <v>34</v>
      </c>
      <c r="D160" s="1" t="s">
        <v>39</v>
      </c>
      <c r="E160" s="1">
        <v>1250.71</v>
      </c>
      <c r="F160" s="1">
        <v>7</v>
      </c>
      <c r="G160" s="2">
        <v>0</v>
      </c>
      <c r="H160" s="3">
        <v>45674</v>
      </c>
      <c r="I160" s="1">
        <v>562.82000000000005</v>
      </c>
      <c r="J160" s="8" t="str">
        <f t="shared" si="2"/>
        <v>Jan-2025</v>
      </c>
    </row>
    <row r="161" spans="1:10" ht="28.8" x14ac:dyDescent="0.3">
      <c r="A161" s="1" t="s">
        <v>40</v>
      </c>
      <c r="B161" s="1" t="s">
        <v>17</v>
      </c>
      <c r="C161" s="1" t="s">
        <v>20</v>
      </c>
      <c r="D161" s="1" t="s">
        <v>15</v>
      </c>
      <c r="E161" s="1">
        <v>1118.3399999999999</v>
      </c>
      <c r="F161" s="1">
        <v>6</v>
      </c>
      <c r="G161" s="2">
        <v>0.2</v>
      </c>
      <c r="H161" s="3">
        <v>45674</v>
      </c>
      <c r="I161" s="1">
        <v>447.34</v>
      </c>
      <c r="J161" s="8" t="str">
        <f t="shared" si="2"/>
        <v>Jan-2025</v>
      </c>
    </row>
    <row r="162" spans="1:10" ht="28.8" x14ac:dyDescent="0.3">
      <c r="A162" s="1" t="s">
        <v>70</v>
      </c>
      <c r="B162" s="1" t="s">
        <v>53</v>
      </c>
      <c r="C162" s="1" t="s">
        <v>24</v>
      </c>
      <c r="D162" s="1" t="s">
        <v>15</v>
      </c>
      <c r="E162" s="1">
        <v>1622.62</v>
      </c>
      <c r="F162" s="1">
        <v>12</v>
      </c>
      <c r="G162" s="2">
        <v>0.2</v>
      </c>
      <c r="H162" s="3">
        <v>45677</v>
      </c>
      <c r="I162" s="1">
        <v>649.04999999999995</v>
      </c>
      <c r="J162" s="8" t="str">
        <f t="shared" si="2"/>
        <v>Jan-2025</v>
      </c>
    </row>
    <row r="163" spans="1:10" x14ac:dyDescent="0.3">
      <c r="A163" s="1" t="s">
        <v>75</v>
      </c>
      <c r="B163" s="1" t="s">
        <v>48</v>
      </c>
      <c r="C163" s="1" t="s">
        <v>24</v>
      </c>
      <c r="D163" s="1" t="s">
        <v>12</v>
      </c>
      <c r="E163" s="1">
        <v>640.64</v>
      </c>
      <c r="F163" s="1">
        <v>11</v>
      </c>
      <c r="G163" s="2">
        <v>0.2</v>
      </c>
      <c r="H163" s="3">
        <v>45678</v>
      </c>
      <c r="I163" s="1">
        <v>205</v>
      </c>
      <c r="J163" s="8" t="str">
        <f t="shared" si="2"/>
        <v>Jan-2025</v>
      </c>
    </row>
    <row r="164" spans="1:10" ht="28.8" x14ac:dyDescent="0.3">
      <c r="A164" s="1" t="s">
        <v>22</v>
      </c>
      <c r="B164" s="1" t="s">
        <v>43</v>
      </c>
      <c r="C164" s="1" t="s">
        <v>11</v>
      </c>
      <c r="D164" s="1" t="s">
        <v>15</v>
      </c>
      <c r="E164" s="1">
        <v>585.16</v>
      </c>
      <c r="F164" s="1">
        <v>17</v>
      </c>
      <c r="G164" s="2">
        <v>0.1</v>
      </c>
      <c r="H164" s="3">
        <v>45684</v>
      </c>
      <c r="I164" s="1">
        <v>263.32</v>
      </c>
      <c r="J164" s="8" t="str">
        <f t="shared" si="2"/>
        <v>Jan-2025</v>
      </c>
    </row>
    <row r="165" spans="1:10" ht="28.8" x14ac:dyDescent="0.3">
      <c r="A165" s="1" t="s">
        <v>22</v>
      </c>
      <c r="B165" s="1" t="s">
        <v>31</v>
      </c>
      <c r="C165" s="1" t="s">
        <v>18</v>
      </c>
      <c r="D165" s="1" t="s">
        <v>15</v>
      </c>
      <c r="E165" s="1">
        <v>1109.98</v>
      </c>
      <c r="F165" s="1">
        <v>5</v>
      </c>
      <c r="G165" s="2">
        <v>0.2</v>
      </c>
      <c r="H165" s="3">
        <v>45690</v>
      </c>
      <c r="I165" s="1">
        <v>443.99</v>
      </c>
      <c r="J165" s="8" t="str">
        <f t="shared" si="2"/>
        <v>Feb-2025</v>
      </c>
    </row>
    <row r="166" spans="1:10" ht="28.8" x14ac:dyDescent="0.3">
      <c r="A166" s="1" t="s">
        <v>58</v>
      </c>
      <c r="B166" s="1" t="s">
        <v>45</v>
      </c>
      <c r="C166" s="1" t="s">
        <v>18</v>
      </c>
      <c r="D166" s="1" t="s">
        <v>12</v>
      </c>
      <c r="E166" s="1">
        <v>1098.08</v>
      </c>
      <c r="F166" s="1">
        <v>9</v>
      </c>
      <c r="G166" s="2">
        <v>0.1</v>
      </c>
      <c r="H166" s="3">
        <v>45692</v>
      </c>
      <c r="I166" s="1">
        <v>395.31</v>
      </c>
      <c r="J166" s="8" t="str">
        <f t="shared" si="2"/>
        <v>Feb-2025</v>
      </c>
    </row>
    <row r="167" spans="1:10" ht="28.8" x14ac:dyDescent="0.3">
      <c r="A167" s="1" t="s">
        <v>65</v>
      </c>
      <c r="B167" s="1" t="s">
        <v>48</v>
      </c>
      <c r="C167" s="1" t="s">
        <v>11</v>
      </c>
      <c r="D167" s="1" t="s">
        <v>39</v>
      </c>
      <c r="E167" s="1">
        <v>827.25</v>
      </c>
      <c r="F167" s="1">
        <v>7</v>
      </c>
      <c r="G167" s="2">
        <v>0.1</v>
      </c>
      <c r="H167" s="3">
        <v>45693</v>
      </c>
      <c r="I167" s="1">
        <v>335.04</v>
      </c>
      <c r="J167" s="8" t="str">
        <f t="shared" si="2"/>
        <v>Feb-2025</v>
      </c>
    </row>
    <row r="168" spans="1:10" ht="28.8" x14ac:dyDescent="0.3">
      <c r="A168" s="1" t="s">
        <v>70</v>
      </c>
      <c r="B168" s="1" t="s">
        <v>29</v>
      </c>
      <c r="C168" s="1" t="s">
        <v>34</v>
      </c>
      <c r="D168" s="1" t="s">
        <v>15</v>
      </c>
      <c r="E168" s="1">
        <v>741.88</v>
      </c>
      <c r="F168" s="1">
        <v>16</v>
      </c>
      <c r="G168" s="2">
        <v>0.1</v>
      </c>
      <c r="H168" s="3">
        <v>45695</v>
      </c>
      <c r="I168" s="1">
        <v>333.85</v>
      </c>
      <c r="J168" s="8" t="str">
        <f t="shared" si="2"/>
        <v>Feb-2025</v>
      </c>
    </row>
    <row r="169" spans="1:10" ht="28.8" x14ac:dyDescent="0.3">
      <c r="A169" s="1" t="s">
        <v>72</v>
      </c>
      <c r="B169" s="1" t="s">
        <v>10</v>
      </c>
      <c r="C169" s="1" t="s">
        <v>18</v>
      </c>
      <c r="D169" s="1" t="s">
        <v>39</v>
      </c>
      <c r="E169" s="1">
        <v>1311.26</v>
      </c>
      <c r="F169" s="1">
        <v>6</v>
      </c>
      <c r="G169" s="2">
        <v>0.1</v>
      </c>
      <c r="H169" s="3">
        <v>45698</v>
      </c>
      <c r="I169" s="1">
        <v>531.05999999999995</v>
      </c>
      <c r="J169" s="8" t="str">
        <f t="shared" si="2"/>
        <v>Feb-2025</v>
      </c>
    </row>
    <row r="170" spans="1:10" ht="28.8" x14ac:dyDescent="0.3">
      <c r="A170" s="1" t="s">
        <v>72</v>
      </c>
      <c r="B170" s="1" t="s">
        <v>31</v>
      </c>
      <c r="C170" s="1" t="s">
        <v>20</v>
      </c>
      <c r="D170" s="1" t="s">
        <v>39</v>
      </c>
      <c r="E170" s="1">
        <v>573.32000000000005</v>
      </c>
      <c r="F170" s="1">
        <v>19</v>
      </c>
      <c r="G170" s="2">
        <v>0.1</v>
      </c>
      <c r="H170" s="3">
        <v>45703</v>
      </c>
      <c r="I170" s="1">
        <v>232.19</v>
      </c>
      <c r="J170" s="8" t="str">
        <f t="shared" si="2"/>
        <v>Feb-2025</v>
      </c>
    </row>
    <row r="171" spans="1:10" ht="28.8" x14ac:dyDescent="0.3">
      <c r="A171" s="1" t="s">
        <v>52</v>
      </c>
      <c r="B171" s="1" t="s">
        <v>23</v>
      </c>
      <c r="C171" s="1" t="s">
        <v>11</v>
      </c>
      <c r="D171" s="1" t="s">
        <v>21</v>
      </c>
      <c r="E171" s="1">
        <v>1115.22</v>
      </c>
      <c r="F171" s="1">
        <v>14</v>
      </c>
      <c r="G171" s="2">
        <v>0.2</v>
      </c>
      <c r="H171" s="3">
        <v>45705</v>
      </c>
      <c r="I171" s="1">
        <v>223.04</v>
      </c>
      <c r="J171" s="8" t="str">
        <f t="shared" si="2"/>
        <v>Feb-2025</v>
      </c>
    </row>
    <row r="172" spans="1:10" ht="28.8" x14ac:dyDescent="0.3">
      <c r="A172" s="1" t="s">
        <v>13</v>
      </c>
      <c r="B172" s="1" t="s">
        <v>45</v>
      </c>
      <c r="C172" s="1" t="s">
        <v>24</v>
      </c>
      <c r="D172" s="1" t="s">
        <v>15</v>
      </c>
      <c r="E172" s="1">
        <v>845.84</v>
      </c>
      <c r="F172" s="1">
        <v>4</v>
      </c>
      <c r="G172" s="2">
        <v>0</v>
      </c>
      <c r="H172" s="3">
        <v>45707</v>
      </c>
      <c r="I172" s="1">
        <v>422.92</v>
      </c>
      <c r="J172" s="8" t="str">
        <f t="shared" si="2"/>
        <v>Feb-2025</v>
      </c>
    </row>
    <row r="173" spans="1:10" ht="28.8" x14ac:dyDescent="0.3">
      <c r="A173" s="1" t="s">
        <v>30</v>
      </c>
      <c r="B173" s="1" t="s">
        <v>55</v>
      </c>
      <c r="C173" s="1" t="s">
        <v>11</v>
      </c>
      <c r="D173" s="1" t="s">
        <v>21</v>
      </c>
      <c r="E173" s="1">
        <v>1029.8</v>
      </c>
      <c r="F173" s="1">
        <v>3</v>
      </c>
      <c r="G173" s="2">
        <v>0</v>
      </c>
      <c r="H173" s="3">
        <v>45708</v>
      </c>
      <c r="I173" s="1">
        <v>257.45</v>
      </c>
      <c r="J173" s="8" t="str">
        <f t="shared" si="2"/>
        <v>Feb-2025</v>
      </c>
    </row>
    <row r="174" spans="1:10" ht="28.8" x14ac:dyDescent="0.3">
      <c r="A174" s="1" t="s">
        <v>32</v>
      </c>
      <c r="B174" s="1" t="s">
        <v>31</v>
      </c>
      <c r="C174" s="1" t="s">
        <v>24</v>
      </c>
      <c r="D174" s="1" t="s">
        <v>12</v>
      </c>
      <c r="E174" s="1">
        <v>1189.83</v>
      </c>
      <c r="F174" s="1">
        <v>2</v>
      </c>
      <c r="G174" s="2">
        <v>0.2</v>
      </c>
      <c r="H174" s="3">
        <v>45709</v>
      </c>
      <c r="I174" s="1">
        <v>380.75</v>
      </c>
      <c r="J174" s="8" t="str">
        <f t="shared" si="2"/>
        <v>Feb-2025</v>
      </c>
    </row>
    <row r="175" spans="1:10" ht="28.8" x14ac:dyDescent="0.3">
      <c r="A175" s="1" t="s">
        <v>67</v>
      </c>
      <c r="B175" s="1" t="s">
        <v>43</v>
      </c>
      <c r="C175" s="1" t="s">
        <v>20</v>
      </c>
      <c r="D175" s="1" t="s">
        <v>12</v>
      </c>
      <c r="E175" s="1">
        <v>704.28</v>
      </c>
      <c r="F175" s="1">
        <v>15</v>
      </c>
      <c r="G175" s="2">
        <v>0.2</v>
      </c>
      <c r="H175" s="3">
        <v>45712</v>
      </c>
      <c r="I175" s="1">
        <v>225.37</v>
      </c>
      <c r="J175" s="8" t="str">
        <f t="shared" si="2"/>
        <v>Feb-2025</v>
      </c>
    </row>
    <row r="176" spans="1:10" ht="28.8" x14ac:dyDescent="0.3">
      <c r="A176" s="1" t="s">
        <v>65</v>
      </c>
      <c r="B176" s="1" t="s">
        <v>47</v>
      </c>
      <c r="C176" s="1" t="s">
        <v>34</v>
      </c>
      <c r="D176" s="1" t="s">
        <v>39</v>
      </c>
      <c r="E176" s="1">
        <v>1618.22</v>
      </c>
      <c r="F176" s="1">
        <v>12</v>
      </c>
      <c r="G176" s="2">
        <v>0.2</v>
      </c>
      <c r="H176" s="3">
        <v>45712</v>
      </c>
      <c r="I176" s="1">
        <v>582.55999999999995</v>
      </c>
      <c r="J176" s="8" t="str">
        <f t="shared" si="2"/>
        <v>Feb-2025</v>
      </c>
    </row>
    <row r="177" spans="1:10" ht="28.8" x14ac:dyDescent="0.3">
      <c r="A177" s="1" t="s">
        <v>73</v>
      </c>
      <c r="B177" s="1" t="s">
        <v>53</v>
      </c>
      <c r="C177" s="1" t="s">
        <v>34</v>
      </c>
      <c r="D177" s="1" t="s">
        <v>12</v>
      </c>
      <c r="E177" s="1">
        <v>1014.43</v>
      </c>
      <c r="F177" s="1">
        <v>2</v>
      </c>
      <c r="G177" s="2">
        <v>0.15</v>
      </c>
      <c r="H177" s="3">
        <v>45713</v>
      </c>
      <c r="I177" s="1">
        <v>344.91</v>
      </c>
      <c r="J177" s="8" t="str">
        <f t="shared" si="2"/>
        <v>Feb-2025</v>
      </c>
    </row>
    <row r="178" spans="1:10" ht="28.8" x14ac:dyDescent="0.3">
      <c r="A178" s="1" t="s">
        <v>75</v>
      </c>
      <c r="B178" s="1" t="s">
        <v>31</v>
      </c>
      <c r="C178" s="1" t="s">
        <v>34</v>
      </c>
      <c r="D178" s="1" t="s">
        <v>15</v>
      </c>
      <c r="E178" s="1">
        <v>826.97</v>
      </c>
      <c r="F178" s="1">
        <v>18</v>
      </c>
      <c r="G178" s="2">
        <v>0.2</v>
      </c>
      <c r="H178" s="3">
        <v>45715</v>
      </c>
      <c r="I178" s="1">
        <v>330.79</v>
      </c>
      <c r="J178" s="8" t="str">
        <f t="shared" si="2"/>
        <v>Feb-2025</v>
      </c>
    </row>
    <row r="179" spans="1:10" ht="28.8" x14ac:dyDescent="0.3">
      <c r="A179" s="1" t="s">
        <v>16</v>
      </c>
      <c r="B179" s="1" t="s">
        <v>31</v>
      </c>
      <c r="C179" s="1" t="s">
        <v>34</v>
      </c>
      <c r="D179" s="1" t="s">
        <v>15</v>
      </c>
      <c r="E179" s="1">
        <v>1022.23</v>
      </c>
      <c r="F179" s="1">
        <v>8</v>
      </c>
      <c r="G179" s="2">
        <v>0.1</v>
      </c>
      <c r="H179" s="3">
        <v>45717</v>
      </c>
      <c r="I179" s="1">
        <v>460</v>
      </c>
      <c r="J179" s="8" t="str">
        <f t="shared" si="2"/>
        <v>Mar-2025</v>
      </c>
    </row>
    <row r="180" spans="1:10" ht="28.8" x14ac:dyDescent="0.3">
      <c r="A180" s="1" t="s">
        <v>72</v>
      </c>
      <c r="B180" s="1" t="s">
        <v>29</v>
      </c>
      <c r="C180" s="1" t="s">
        <v>18</v>
      </c>
      <c r="D180" s="1" t="s">
        <v>12</v>
      </c>
      <c r="E180" s="1">
        <v>1099.69</v>
      </c>
      <c r="F180" s="1">
        <v>6</v>
      </c>
      <c r="G180" s="2">
        <v>0</v>
      </c>
      <c r="H180" s="3">
        <v>45718</v>
      </c>
      <c r="I180" s="1">
        <v>439.88</v>
      </c>
      <c r="J180" s="8" t="str">
        <f t="shared" si="2"/>
        <v>Mar-2025</v>
      </c>
    </row>
    <row r="181" spans="1:10" ht="28.8" x14ac:dyDescent="0.3">
      <c r="A181" s="1" t="s">
        <v>52</v>
      </c>
      <c r="B181" s="1" t="s">
        <v>64</v>
      </c>
      <c r="C181" s="1" t="s">
        <v>24</v>
      </c>
      <c r="D181" s="1" t="s">
        <v>12</v>
      </c>
      <c r="E181" s="1">
        <v>710.52</v>
      </c>
      <c r="F181" s="1">
        <v>8</v>
      </c>
      <c r="G181" s="2">
        <v>0.1</v>
      </c>
      <c r="H181" s="3">
        <v>45721</v>
      </c>
      <c r="I181" s="1">
        <v>255.79</v>
      </c>
      <c r="J181" s="8" t="str">
        <f t="shared" si="2"/>
        <v>Mar-2025</v>
      </c>
    </row>
    <row r="182" spans="1:10" ht="28.8" x14ac:dyDescent="0.3">
      <c r="A182" s="1" t="s">
        <v>52</v>
      </c>
      <c r="B182" s="1" t="s">
        <v>59</v>
      </c>
      <c r="C182" s="1" t="s">
        <v>24</v>
      </c>
      <c r="D182" s="1" t="s">
        <v>12</v>
      </c>
      <c r="E182" s="1">
        <v>499.18</v>
      </c>
      <c r="F182" s="1">
        <v>15</v>
      </c>
      <c r="G182" s="2">
        <v>0.2</v>
      </c>
      <c r="H182" s="3">
        <v>45724</v>
      </c>
      <c r="I182" s="1">
        <v>159.74</v>
      </c>
      <c r="J182" s="8" t="str">
        <f t="shared" si="2"/>
        <v>Mar-2025</v>
      </c>
    </row>
    <row r="183" spans="1:10" ht="28.8" x14ac:dyDescent="0.3">
      <c r="A183" s="1" t="s">
        <v>37</v>
      </c>
      <c r="B183" s="1" t="s">
        <v>38</v>
      </c>
      <c r="C183" s="1" t="s">
        <v>20</v>
      </c>
      <c r="D183" s="1" t="s">
        <v>12</v>
      </c>
      <c r="E183" s="1">
        <v>1064.19</v>
      </c>
      <c r="F183" s="1">
        <v>18</v>
      </c>
      <c r="G183" s="2">
        <v>0.05</v>
      </c>
      <c r="H183" s="3">
        <v>45725</v>
      </c>
      <c r="I183" s="1">
        <v>404.39</v>
      </c>
      <c r="J183" s="8" t="str">
        <f t="shared" si="2"/>
        <v>Mar-2025</v>
      </c>
    </row>
    <row r="184" spans="1:10" ht="28.8" x14ac:dyDescent="0.3">
      <c r="A184" s="1" t="s">
        <v>67</v>
      </c>
      <c r="B184" s="1" t="s">
        <v>38</v>
      </c>
      <c r="C184" s="1" t="s">
        <v>18</v>
      </c>
      <c r="D184" s="1" t="s">
        <v>39</v>
      </c>
      <c r="E184" s="1">
        <v>438.76</v>
      </c>
      <c r="F184" s="1">
        <v>18</v>
      </c>
      <c r="G184" s="2">
        <v>0.05</v>
      </c>
      <c r="H184" s="3">
        <v>45726</v>
      </c>
      <c r="I184" s="1">
        <v>187.57</v>
      </c>
      <c r="J184" s="8" t="str">
        <f t="shared" si="2"/>
        <v>Mar-2025</v>
      </c>
    </row>
    <row r="185" spans="1:10" ht="28.8" x14ac:dyDescent="0.3">
      <c r="A185" s="1" t="s">
        <v>41</v>
      </c>
      <c r="B185" s="1" t="s">
        <v>55</v>
      </c>
      <c r="C185" s="1" t="s">
        <v>11</v>
      </c>
      <c r="D185" s="1" t="s">
        <v>15</v>
      </c>
      <c r="E185" s="1">
        <v>864.98</v>
      </c>
      <c r="F185" s="1">
        <v>2</v>
      </c>
      <c r="G185" s="2">
        <v>0.05</v>
      </c>
      <c r="H185" s="3">
        <v>45727</v>
      </c>
      <c r="I185" s="1">
        <v>410.87</v>
      </c>
      <c r="J185" s="8" t="str">
        <f t="shared" si="2"/>
        <v>Mar-2025</v>
      </c>
    </row>
    <row r="186" spans="1:10" ht="28.8" x14ac:dyDescent="0.3">
      <c r="A186" s="1" t="s">
        <v>57</v>
      </c>
      <c r="B186" s="1" t="s">
        <v>55</v>
      </c>
      <c r="C186" s="1" t="s">
        <v>11</v>
      </c>
      <c r="D186" s="1" t="s">
        <v>27</v>
      </c>
      <c r="E186" s="1">
        <v>984.93</v>
      </c>
      <c r="F186" s="1">
        <v>14</v>
      </c>
      <c r="G186" s="2">
        <v>0.2</v>
      </c>
      <c r="H186" s="3">
        <v>45733</v>
      </c>
      <c r="I186" s="1">
        <v>275.77999999999997</v>
      </c>
      <c r="J186" s="8" t="str">
        <f t="shared" si="2"/>
        <v>Mar-2025</v>
      </c>
    </row>
    <row r="187" spans="1:10" ht="28.8" x14ac:dyDescent="0.3">
      <c r="A187" s="1" t="s">
        <v>25</v>
      </c>
      <c r="B187" s="1" t="s">
        <v>55</v>
      </c>
      <c r="C187" s="1" t="s">
        <v>11</v>
      </c>
      <c r="D187" s="1" t="s">
        <v>15</v>
      </c>
      <c r="E187" s="1">
        <v>1493.49</v>
      </c>
      <c r="F187" s="1">
        <v>18</v>
      </c>
      <c r="G187" s="2">
        <v>0</v>
      </c>
      <c r="H187" s="3">
        <v>45734</v>
      </c>
      <c r="I187" s="1">
        <v>746.74</v>
      </c>
      <c r="J187" s="8" t="str">
        <f t="shared" si="2"/>
        <v>Mar-2025</v>
      </c>
    </row>
    <row r="188" spans="1:10" ht="28.8" x14ac:dyDescent="0.3">
      <c r="A188" s="1" t="s">
        <v>32</v>
      </c>
      <c r="B188" s="1" t="s">
        <v>53</v>
      </c>
      <c r="C188" s="1" t="s">
        <v>20</v>
      </c>
      <c r="D188" s="1" t="s">
        <v>15</v>
      </c>
      <c r="E188" s="1">
        <v>689.43</v>
      </c>
      <c r="F188" s="1">
        <v>9</v>
      </c>
      <c r="G188" s="2">
        <v>0.1</v>
      </c>
      <c r="H188" s="3">
        <v>45736</v>
      </c>
      <c r="I188" s="1">
        <v>310.24</v>
      </c>
      <c r="J188" s="8" t="str">
        <f t="shared" si="2"/>
        <v>Mar-2025</v>
      </c>
    </row>
    <row r="189" spans="1:10" ht="28.8" x14ac:dyDescent="0.3">
      <c r="A189" s="1" t="s">
        <v>40</v>
      </c>
      <c r="B189" s="1" t="s">
        <v>59</v>
      </c>
      <c r="C189" s="1" t="s">
        <v>20</v>
      </c>
      <c r="D189" s="1" t="s">
        <v>15</v>
      </c>
      <c r="E189" s="1">
        <v>682.24</v>
      </c>
      <c r="F189" s="1">
        <v>1</v>
      </c>
      <c r="G189" s="2">
        <v>0</v>
      </c>
      <c r="H189" s="3">
        <v>45738</v>
      </c>
      <c r="I189" s="1">
        <v>341.12</v>
      </c>
      <c r="J189" s="8" t="str">
        <f t="shared" si="2"/>
        <v>Mar-2025</v>
      </c>
    </row>
    <row r="190" spans="1:10" ht="28.8" x14ac:dyDescent="0.3">
      <c r="A190" s="1" t="s">
        <v>41</v>
      </c>
      <c r="B190" s="1" t="s">
        <v>26</v>
      </c>
      <c r="C190" s="1" t="s">
        <v>24</v>
      </c>
      <c r="D190" s="1" t="s">
        <v>21</v>
      </c>
      <c r="E190" s="1">
        <v>458.54</v>
      </c>
      <c r="F190" s="1">
        <v>15</v>
      </c>
      <c r="G190" s="2">
        <v>0.2</v>
      </c>
      <c r="H190" s="3">
        <v>45741</v>
      </c>
      <c r="I190" s="1">
        <v>91.71</v>
      </c>
      <c r="J190" s="8" t="str">
        <f t="shared" si="2"/>
        <v>Mar-2025</v>
      </c>
    </row>
    <row r="191" spans="1:10" ht="28.8" x14ac:dyDescent="0.3">
      <c r="A191" s="1" t="s">
        <v>32</v>
      </c>
      <c r="B191" s="1" t="s">
        <v>26</v>
      </c>
      <c r="C191" s="1" t="s">
        <v>20</v>
      </c>
      <c r="D191" s="1" t="s">
        <v>27</v>
      </c>
      <c r="E191" s="1">
        <v>1184.25</v>
      </c>
      <c r="F191" s="1">
        <v>11</v>
      </c>
      <c r="G191" s="2">
        <v>0.2</v>
      </c>
      <c r="H191" s="3">
        <v>45742</v>
      </c>
      <c r="I191" s="1">
        <v>331.59</v>
      </c>
      <c r="J191" s="8" t="str">
        <f t="shared" si="2"/>
        <v>Mar-2025</v>
      </c>
    </row>
    <row r="192" spans="1:10" ht="28.8" x14ac:dyDescent="0.3">
      <c r="A192" s="1" t="s">
        <v>25</v>
      </c>
      <c r="B192" s="1" t="s">
        <v>10</v>
      </c>
      <c r="C192" s="1" t="s">
        <v>20</v>
      </c>
      <c r="D192" s="1" t="s">
        <v>15</v>
      </c>
      <c r="E192" s="1">
        <v>762.14</v>
      </c>
      <c r="F192" s="1">
        <v>9</v>
      </c>
      <c r="G192" s="2">
        <v>0</v>
      </c>
      <c r="H192" s="3">
        <v>45743</v>
      </c>
      <c r="I192" s="1">
        <v>381.07</v>
      </c>
      <c r="J192" s="8" t="str">
        <f t="shared" si="2"/>
        <v>Mar-2025</v>
      </c>
    </row>
    <row r="193" spans="1:10" ht="28.8" x14ac:dyDescent="0.3">
      <c r="A193" s="1" t="s">
        <v>22</v>
      </c>
      <c r="B193" s="1" t="s">
        <v>53</v>
      </c>
      <c r="C193" s="1" t="s">
        <v>24</v>
      </c>
      <c r="D193" s="1" t="s">
        <v>12</v>
      </c>
      <c r="E193" s="1">
        <v>750.71</v>
      </c>
      <c r="F193" s="1">
        <v>10</v>
      </c>
      <c r="G193" s="2">
        <v>0.15</v>
      </c>
      <c r="H193" s="3">
        <v>45743</v>
      </c>
      <c r="I193" s="1">
        <v>255.24</v>
      </c>
      <c r="J193" s="8" t="str">
        <f t="shared" si="2"/>
        <v>Mar-2025</v>
      </c>
    </row>
    <row r="194" spans="1:10" ht="28.8" x14ac:dyDescent="0.3">
      <c r="A194" s="1" t="s">
        <v>75</v>
      </c>
      <c r="B194" s="1" t="s">
        <v>71</v>
      </c>
      <c r="C194" s="1" t="s">
        <v>34</v>
      </c>
      <c r="D194" s="1" t="s">
        <v>15</v>
      </c>
      <c r="E194" s="1">
        <v>1456.94</v>
      </c>
      <c r="F194" s="1">
        <v>14</v>
      </c>
      <c r="G194" s="2">
        <v>0.05</v>
      </c>
      <c r="H194" s="3">
        <v>45745</v>
      </c>
      <c r="I194" s="1">
        <v>692.05</v>
      </c>
      <c r="J194" s="8" t="str">
        <f t="shared" si="2"/>
        <v>Mar-2025</v>
      </c>
    </row>
    <row r="195" spans="1:10" ht="28.8" x14ac:dyDescent="0.3">
      <c r="A195" s="1" t="s">
        <v>44</v>
      </c>
      <c r="B195" s="1" t="s">
        <v>61</v>
      </c>
      <c r="C195" s="1" t="s">
        <v>18</v>
      </c>
      <c r="D195" s="1" t="s">
        <v>27</v>
      </c>
      <c r="E195" s="1">
        <v>1093.3800000000001</v>
      </c>
      <c r="F195" s="1">
        <v>17</v>
      </c>
      <c r="G195" s="2">
        <v>0.1</v>
      </c>
      <c r="H195" s="3">
        <v>45745</v>
      </c>
      <c r="I195" s="1">
        <v>344.41</v>
      </c>
      <c r="J195" s="8" t="str">
        <f t="shared" ref="J195:J201" si="3">TEXT(H195,"mmm-yyy")</f>
        <v>Mar-2025</v>
      </c>
    </row>
    <row r="196" spans="1:10" ht="28.8" x14ac:dyDescent="0.3">
      <c r="A196" s="1" t="s">
        <v>37</v>
      </c>
      <c r="B196" s="1" t="s">
        <v>43</v>
      </c>
      <c r="C196" s="1" t="s">
        <v>11</v>
      </c>
      <c r="D196" s="1" t="s">
        <v>15</v>
      </c>
      <c r="E196" s="1">
        <v>934.27</v>
      </c>
      <c r="F196" s="1">
        <v>8</v>
      </c>
      <c r="G196" s="2">
        <v>0.15</v>
      </c>
      <c r="H196" s="3">
        <v>45746</v>
      </c>
      <c r="I196" s="1">
        <v>397.06</v>
      </c>
      <c r="J196" s="8" t="str">
        <f t="shared" si="3"/>
        <v>Mar-2025</v>
      </c>
    </row>
    <row r="197" spans="1:10" ht="28.8" x14ac:dyDescent="0.3">
      <c r="A197" s="1" t="s">
        <v>70</v>
      </c>
      <c r="B197" s="1" t="s">
        <v>36</v>
      </c>
      <c r="C197" s="1" t="s">
        <v>34</v>
      </c>
      <c r="D197" s="1" t="s">
        <v>15</v>
      </c>
      <c r="E197" s="1">
        <v>1465.35</v>
      </c>
      <c r="F197" s="1">
        <v>8</v>
      </c>
      <c r="G197" s="2">
        <v>0.2</v>
      </c>
      <c r="H197" s="3">
        <v>45746</v>
      </c>
      <c r="I197" s="1">
        <v>586.14</v>
      </c>
      <c r="J197" s="8" t="str">
        <f t="shared" si="3"/>
        <v>Mar-2025</v>
      </c>
    </row>
    <row r="198" spans="1:10" ht="28.8" x14ac:dyDescent="0.3">
      <c r="A198" s="1" t="s">
        <v>52</v>
      </c>
      <c r="B198" s="1" t="s">
        <v>14</v>
      </c>
      <c r="C198" s="1" t="s">
        <v>20</v>
      </c>
      <c r="D198" s="1" t="s">
        <v>39</v>
      </c>
      <c r="E198" s="1">
        <v>740.8</v>
      </c>
      <c r="F198" s="1">
        <v>3</v>
      </c>
      <c r="G198" s="2">
        <v>0</v>
      </c>
      <c r="H198" s="3">
        <v>45749</v>
      </c>
      <c r="I198" s="1">
        <v>333.36</v>
      </c>
      <c r="J198" s="8" t="str">
        <f t="shared" si="3"/>
        <v>Apr-2025</v>
      </c>
    </row>
    <row r="199" spans="1:10" ht="28.8" x14ac:dyDescent="0.3">
      <c r="A199" s="1" t="s">
        <v>58</v>
      </c>
      <c r="B199" s="1" t="s">
        <v>43</v>
      </c>
      <c r="C199" s="1" t="s">
        <v>11</v>
      </c>
      <c r="D199" s="1" t="s">
        <v>39</v>
      </c>
      <c r="E199" s="1">
        <v>545.44000000000005</v>
      </c>
      <c r="F199" s="1">
        <v>17</v>
      </c>
      <c r="G199" s="2">
        <v>0</v>
      </c>
      <c r="H199" s="3">
        <v>45752</v>
      </c>
      <c r="I199" s="1">
        <v>245.45</v>
      </c>
      <c r="J199" s="8" t="str">
        <f t="shared" si="3"/>
        <v>Apr-2025</v>
      </c>
    </row>
    <row r="200" spans="1:10" ht="28.8" x14ac:dyDescent="0.3">
      <c r="A200" s="1" t="s">
        <v>35</v>
      </c>
      <c r="B200" s="1" t="s">
        <v>36</v>
      </c>
      <c r="C200" s="1" t="s">
        <v>18</v>
      </c>
      <c r="D200" s="1" t="s">
        <v>12</v>
      </c>
      <c r="E200" s="1">
        <v>997.61</v>
      </c>
      <c r="F200" s="1">
        <v>8</v>
      </c>
      <c r="G200" s="2">
        <v>0.05</v>
      </c>
      <c r="H200" s="3">
        <v>45752</v>
      </c>
      <c r="I200" s="1">
        <v>379.09</v>
      </c>
      <c r="J200" s="8" t="str">
        <f t="shared" si="3"/>
        <v>Apr-2025</v>
      </c>
    </row>
    <row r="201" spans="1:10" ht="28.8" x14ac:dyDescent="0.3">
      <c r="A201" s="1" t="s">
        <v>60</v>
      </c>
      <c r="B201" s="1" t="s">
        <v>36</v>
      </c>
      <c r="C201" s="1" t="s">
        <v>20</v>
      </c>
      <c r="D201" s="1" t="s">
        <v>15</v>
      </c>
      <c r="E201" s="1">
        <v>928.32</v>
      </c>
      <c r="F201" s="1">
        <v>2</v>
      </c>
      <c r="G201" s="2">
        <v>0.05</v>
      </c>
      <c r="H201" s="3">
        <v>45754</v>
      </c>
      <c r="I201" s="1">
        <v>440.95</v>
      </c>
      <c r="J201" s="8" t="str">
        <f t="shared" si="3"/>
        <v>Apr-2025</v>
      </c>
    </row>
  </sheetData>
  <conditionalFormatting sqref="B1:B201">
    <cfRule type="top10" dxfId="14" priority="2" rank="10"/>
    <cfRule type="top10" dxfId="13" priority="4" rank="10"/>
    <cfRule type="top10" dxfId="12" priority="6" rank="10"/>
  </conditionalFormatting>
  <conditionalFormatting sqref="B2:B201">
    <cfRule type="top10" dxfId="11" priority="5" rank="10"/>
  </conditionalFormatting>
  <conditionalFormatting sqref="C3:C8">
    <cfRule type="top10" dxfId="10" priority="3" percent="1" rank="10"/>
  </conditionalFormatting>
  <conditionalFormatting pivot="1" sqref="N7:N19">
    <cfRule type="iconSet" priority="1">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8312F-F030-45E4-AA6F-DA6978DF13DD}">
  <dimension ref="A1:K201"/>
  <sheetViews>
    <sheetView workbookViewId="0">
      <selection activeCell="K2" sqref="K2"/>
    </sheetView>
  </sheetViews>
  <sheetFormatPr defaultRowHeight="14.4" x14ac:dyDescent="0.3"/>
  <cols>
    <col min="1" max="1" width="14.6640625" customWidth="1"/>
    <col min="2" max="2" width="15.6640625" bestFit="1" customWidth="1"/>
    <col min="3" max="3" width="10" customWidth="1"/>
    <col min="4" max="4" width="17.33203125" customWidth="1"/>
    <col min="5" max="5" width="11.21875" customWidth="1"/>
    <col min="6" max="6" width="14.33203125" customWidth="1"/>
    <col min="7" max="7" width="10" customWidth="1"/>
    <col min="8" max="8" width="12.88671875" customWidth="1"/>
    <col min="9" max="9" width="13" customWidth="1"/>
    <col min="10" max="10" width="10" customWidth="1"/>
    <col min="11" max="11" width="21.44140625" customWidth="1"/>
  </cols>
  <sheetData>
    <row r="1" spans="1:11" ht="28.8" x14ac:dyDescent="0.3">
      <c r="A1" s="13" t="s">
        <v>0</v>
      </c>
      <c r="B1" s="13" t="s">
        <v>1</v>
      </c>
      <c r="C1" s="13" t="s">
        <v>2</v>
      </c>
      <c r="D1" s="13" t="s">
        <v>3</v>
      </c>
      <c r="E1" s="13" t="s">
        <v>4</v>
      </c>
      <c r="F1" s="13" t="s">
        <v>5</v>
      </c>
      <c r="G1" s="14" t="s">
        <v>6</v>
      </c>
      <c r="H1" s="15" t="s">
        <v>7</v>
      </c>
      <c r="I1" s="13" t="s">
        <v>8</v>
      </c>
      <c r="J1" s="19" t="s">
        <v>124</v>
      </c>
      <c r="K1" s="13" t="s">
        <v>142</v>
      </c>
    </row>
    <row r="2" spans="1:11" x14ac:dyDescent="0.3">
      <c r="A2" s="1" t="s">
        <v>9</v>
      </c>
      <c r="B2" s="1" t="s">
        <v>10</v>
      </c>
      <c r="C2" s="1" t="s">
        <v>11</v>
      </c>
      <c r="D2" s="1" t="s">
        <v>12</v>
      </c>
      <c r="E2" s="1">
        <v>1036.0899999999999</v>
      </c>
      <c r="F2" s="1">
        <v>4</v>
      </c>
      <c r="G2" s="2">
        <v>0.2</v>
      </c>
      <c r="H2" s="3">
        <v>45392</v>
      </c>
      <c r="I2" s="1">
        <v>331.55</v>
      </c>
      <c r="J2" s="8" t="str">
        <f>TEXT(H2,"mmm-yyy")</f>
        <v>Apr-2024</v>
      </c>
      <c r="K2" s="24">
        <f ca="1">NOW()</f>
        <v>46115.806767245369</v>
      </c>
    </row>
    <row r="3" spans="1:11" x14ac:dyDescent="0.3">
      <c r="A3" s="1" t="s">
        <v>13</v>
      </c>
      <c r="B3" s="1" t="s">
        <v>14</v>
      </c>
      <c r="C3" s="1" t="s">
        <v>11</v>
      </c>
      <c r="D3" s="1" t="s">
        <v>15</v>
      </c>
      <c r="E3" s="1">
        <v>1101.28</v>
      </c>
      <c r="F3" s="1">
        <v>3</v>
      </c>
      <c r="G3" s="2">
        <v>0.2</v>
      </c>
      <c r="H3" s="3">
        <v>45393</v>
      </c>
      <c r="I3" s="1">
        <v>440.51</v>
      </c>
      <c r="J3" s="8" t="str">
        <f t="shared" ref="J3:J66" si="0">TEXT(H3,"mmm-yyy")</f>
        <v>Apr-2024</v>
      </c>
      <c r="K3" s="24">
        <f t="shared" ref="K3:K66" ca="1" si="1">NOW()</f>
        <v>46115.806767245369</v>
      </c>
    </row>
    <row r="4" spans="1:11" x14ac:dyDescent="0.3">
      <c r="A4" s="1" t="s">
        <v>16</v>
      </c>
      <c r="B4" s="1" t="s">
        <v>17</v>
      </c>
      <c r="C4" s="1" t="s">
        <v>18</v>
      </c>
      <c r="D4" s="1" t="s">
        <v>12</v>
      </c>
      <c r="E4" s="1">
        <v>713.34</v>
      </c>
      <c r="F4" s="1">
        <v>17</v>
      </c>
      <c r="G4" s="2">
        <v>0</v>
      </c>
      <c r="H4" s="3">
        <v>45396</v>
      </c>
      <c r="I4" s="1">
        <v>285.33999999999997</v>
      </c>
      <c r="J4" s="8" t="str">
        <f t="shared" si="0"/>
        <v>Apr-2024</v>
      </c>
      <c r="K4" s="24">
        <f t="shared" ca="1" si="1"/>
        <v>46115.806767245369</v>
      </c>
    </row>
    <row r="5" spans="1:11" x14ac:dyDescent="0.3">
      <c r="A5" s="1" t="s">
        <v>19</v>
      </c>
      <c r="B5" s="1" t="s">
        <v>14</v>
      </c>
      <c r="C5" s="1" t="s">
        <v>20</v>
      </c>
      <c r="D5" s="1" t="s">
        <v>21</v>
      </c>
      <c r="E5" s="1">
        <v>760.93</v>
      </c>
      <c r="F5" s="1">
        <v>4</v>
      </c>
      <c r="G5" s="2">
        <v>0.15</v>
      </c>
      <c r="H5" s="3">
        <v>45396</v>
      </c>
      <c r="I5" s="1">
        <v>161.69999999999999</v>
      </c>
      <c r="J5" s="8" t="str">
        <f t="shared" si="0"/>
        <v>Apr-2024</v>
      </c>
      <c r="K5" s="24">
        <f t="shared" ca="1" si="1"/>
        <v>46115.806767245369</v>
      </c>
    </row>
    <row r="6" spans="1:11" x14ac:dyDescent="0.3">
      <c r="A6" s="1" t="s">
        <v>22</v>
      </c>
      <c r="B6" s="1" t="s">
        <v>23</v>
      </c>
      <c r="C6" s="1" t="s">
        <v>24</v>
      </c>
      <c r="D6" s="1" t="s">
        <v>12</v>
      </c>
      <c r="E6" s="1">
        <v>847</v>
      </c>
      <c r="F6" s="1">
        <v>12</v>
      </c>
      <c r="G6" s="2">
        <v>0.2</v>
      </c>
      <c r="H6" s="3">
        <v>45397</v>
      </c>
      <c r="I6" s="1">
        <v>271.04000000000002</v>
      </c>
      <c r="J6" s="8" t="str">
        <f t="shared" si="0"/>
        <v>Apr-2024</v>
      </c>
      <c r="K6" s="24">
        <f t="shared" ca="1" si="1"/>
        <v>46115.806767245369</v>
      </c>
    </row>
    <row r="7" spans="1:11" x14ac:dyDescent="0.3">
      <c r="A7" s="1" t="s">
        <v>25</v>
      </c>
      <c r="B7" s="1" t="s">
        <v>26</v>
      </c>
      <c r="C7" s="1" t="s">
        <v>24</v>
      </c>
      <c r="D7" s="1" t="s">
        <v>27</v>
      </c>
      <c r="E7" s="1">
        <v>965.64</v>
      </c>
      <c r="F7" s="1">
        <v>8</v>
      </c>
      <c r="G7" s="2">
        <v>0.1</v>
      </c>
      <c r="H7" s="3">
        <v>45398</v>
      </c>
      <c r="I7" s="1">
        <v>304.18</v>
      </c>
      <c r="J7" s="8" t="str">
        <f t="shared" si="0"/>
        <v>Apr-2024</v>
      </c>
      <c r="K7" s="24">
        <f t="shared" ca="1" si="1"/>
        <v>46115.806767245369</v>
      </c>
    </row>
    <row r="8" spans="1:11" x14ac:dyDescent="0.3">
      <c r="A8" s="1" t="s">
        <v>28</v>
      </c>
      <c r="B8" s="1" t="s">
        <v>29</v>
      </c>
      <c r="C8" s="1" t="s">
        <v>11</v>
      </c>
      <c r="D8" s="1" t="s">
        <v>21</v>
      </c>
      <c r="E8" s="1">
        <v>1317.53</v>
      </c>
      <c r="F8" s="1">
        <v>12</v>
      </c>
      <c r="G8" s="2">
        <v>0.05</v>
      </c>
      <c r="H8" s="3">
        <v>45398</v>
      </c>
      <c r="I8" s="1">
        <v>312.91000000000003</v>
      </c>
      <c r="J8" s="8" t="str">
        <f t="shared" si="0"/>
        <v>Apr-2024</v>
      </c>
      <c r="K8" s="24">
        <f t="shared" ca="1" si="1"/>
        <v>46115.806767245369</v>
      </c>
    </row>
    <row r="9" spans="1:11" x14ac:dyDescent="0.3">
      <c r="A9" s="1" t="s">
        <v>30</v>
      </c>
      <c r="B9" s="1" t="s">
        <v>31</v>
      </c>
      <c r="C9" s="1" t="s">
        <v>18</v>
      </c>
      <c r="D9" s="1" t="s">
        <v>27</v>
      </c>
      <c r="E9" s="1">
        <v>1074.47</v>
      </c>
      <c r="F9" s="1">
        <v>6</v>
      </c>
      <c r="G9" s="2">
        <v>0.2</v>
      </c>
      <c r="H9" s="3">
        <v>45401</v>
      </c>
      <c r="I9" s="1">
        <v>300.85000000000002</v>
      </c>
      <c r="J9" s="8" t="str">
        <f t="shared" si="0"/>
        <v>Apr-2024</v>
      </c>
      <c r="K9" s="24">
        <f t="shared" ca="1" si="1"/>
        <v>46115.806767245369</v>
      </c>
    </row>
    <row r="10" spans="1:11" x14ac:dyDescent="0.3">
      <c r="A10" s="1" t="s">
        <v>32</v>
      </c>
      <c r="B10" s="1" t="s">
        <v>33</v>
      </c>
      <c r="C10" s="1" t="s">
        <v>34</v>
      </c>
      <c r="D10" s="1" t="s">
        <v>12</v>
      </c>
      <c r="E10" s="1">
        <v>501.54</v>
      </c>
      <c r="F10" s="1">
        <v>11</v>
      </c>
      <c r="G10" s="2">
        <v>0.05</v>
      </c>
      <c r="H10" s="3">
        <v>45401</v>
      </c>
      <c r="I10" s="1">
        <v>190.59</v>
      </c>
      <c r="J10" s="8" t="str">
        <f t="shared" si="0"/>
        <v>Apr-2024</v>
      </c>
      <c r="K10" s="24">
        <f t="shared" ca="1" si="1"/>
        <v>46115.806767245369</v>
      </c>
    </row>
    <row r="11" spans="1:11" x14ac:dyDescent="0.3">
      <c r="A11" s="1" t="s">
        <v>35</v>
      </c>
      <c r="B11" s="1" t="s">
        <v>36</v>
      </c>
      <c r="C11" s="1" t="s">
        <v>34</v>
      </c>
      <c r="D11" s="1" t="s">
        <v>15</v>
      </c>
      <c r="E11" s="1">
        <v>737.31</v>
      </c>
      <c r="F11" s="1">
        <v>2</v>
      </c>
      <c r="G11" s="2">
        <v>0.05</v>
      </c>
      <c r="H11" s="3">
        <v>45401</v>
      </c>
      <c r="I11" s="1">
        <v>350.22</v>
      </c>
      <c r="J11" s="8" t="str">
        <f t="shared" si="0"/>
        <v>Apr-2024</v>
      </c>
      <c r="K11" s="24">
        <f t="shared" ca="1" si="1"/>
        <v>46115.806767245369</v>
      </c>
    </row>
    <row r="12" spans="1:11" x14ac:dyDescent="0.3">
      <c r="A12" s="1" t="s">
        <v>37</v>
      </c>
      <c r="B12" s="1" t="s">
        <v>38</v>
      </c>
      <c r="C12" s="1" t="s">
        <v>11</v>
      </c>
      <c r="D12" s="1" t="s">
        <v>39</v>
      </c>
      <c r="E12" s="1">
        <v>1572.82</v>
      </c>
      <c r="F12" s="1">
        <v>6</v>
      </c>
      <c r="G12" s="2">
        <v>0.05</v>
      </c>
      <c r="H12" s="3">
        <v>45402</v>
      </c>
      <c r="I12" s="1">
        <v>672.38</v>
      </c>
      <c r="J12" s="8" t="str">
        <f t="shared" si="0"/>
        <v>Apr-2024</v>
      </c>
      <c r="K12" s="24">
        <f t="shared" ca="1" si="1"/>
        <v>46115.806767245369</v>
      </c>
    </row>
    <row r="13" spans="1:11" x14ac:dyDescent="0.3">
      <c r="A13" s="1" t="s">
        <v>37</v>
      </c>
      <c r="B13" s="1" t="s">
        <v>36</v>
      </c>
      <c r="C13" s="1" t="s">
        <v>34</v>
      </c>
      <c r="D13" s="1" t="s">
        <v>12</v>
      </c>
      <c r="E13" s="1">
        <v>1343.13</v>
      </c>
      <c r="F13" s="1">
        <v>14</v>
      </c>
      <c r="G13" s="2">
        <v>0.15</v>
      </c>
      <c r="H13" s="3">
        <v>45404</v>
      </c>
      <c r="I13" s="1">
        <v>456.66</v>
      </c>
      <c r="J13" s="8" t="str">
        <f t="shared" si="0"/>
        <v>Apr-2024</v>
      </c>
      <c r="K13" s="24">
        <f t="shared" ca="1" si="1"/>
        <v>46115.806767245369</v>
      </c>
    </row>
    <row r="14" spans="1:11" ht="18" customHeight="1" x14ac:dyDescent="0.3">
      <c r="A14" s="1" t="s">
        <v>25</v>
      </c>
      <c r="B14" s="1" t="s">
        <v>26</v>
      </c>
      <c r="C14" s="1" t="s">
        <v>34</v>
      </c>
      <c r="D14" s="1" t="s">
        <v>12</v>
      </c>
      <c r="E14" s="1">
        <v>1191.58</v>
      </c>
      <c r="F14" s="1">
        <v>14</v>
      </c>
      <c r="G14" s="2">
        <v>0.05</v>
      </c>
      <c r="H14" s="3">
        <v>45406</v>
      </c>
      <c r="I14" s="1">
        <v>452.8</v>
      </c>
      <c r="J14" s="8" t="str">
        <f t="shared" si="0"/>
        <v>Apr-2024</v>
      </c>
      <c r="K14" s="24">
        <f t="shared" ca="1" si="1"/>
        <v>46115.806767245369</v>
      </c>
    </row>
    <row r="15" spans="1:11" x14ac:dyDescent="0.3">
      <c r="A15" s="1" t="s">
        <v>40</v>
      </c>
      <c r="B15" s="1" t="s">
        <v>14</v>
      </c>
      <c r="C15" s="1" t="s">
        <v>11</v>
      </c>
      <c r="D15" s="1" t="s">
        <v>27</v>
      </c>
      <c r="E15" s="1">
        <v>822.28</v>
      </c>
      <c r="F15" s="1">
        <v>7</v>
      </c>
      <c r="G15" s="2">
        <v>0.05</v>
      </c>
      <c r="H15" s="3">
        <v>45406</v>
      </c>
      <c r="I15" s="1">
        <v>273.41000000000003</v>
      </c>
      <c r="J15" s="8" t="str">
        <f t="shared" si="0"/>
        <v>Apr-2024</v>
      </c>
      <c r="K15" s="24">
        <f t="shared" ca="1" si="1"/>
        <v>46115.806767245369</v>
      </c>
    </row>
    <row r="16" spans="1:11" x14ac:dyDescent="0.3">
      <c r="A16" s="1" t="s">
        <v>41</v>
      </c>
      <c r="B16" s="1" t="s">
        <v>42</v>
      </c>
      <c r="C16" s="1" t="s">
        <v>24</v>
      </c>
      <c r="D16" s="1" t="s">
        <v>27</v>
      </c>
      <c r="E16" s="1">
        <v>521.66999999999996</v>
      </c>
      <c r="F16" s="1">
        <v>15</v>
      </c>
      <c r="G16" s="2">
        <v>0.15</v>
      </c>
      <c r="H16" s="3">
        <v>45409</v>
      </c>
      <c r="I16" s="1">
        <v>155.19999999999999</v>
      </c>
      <c r="J16" s="8" t="str">
        <f t="shared" si="0"/>
        <v>Apr-2024</v>
      </c>
      <c r="K16" s="24">
        <f t="shared" ca="1" si="1"/>
        <v>46115.806767245369</v>
      </c>
    </row>
    <row r="17" spans="1:11" x14ac:dyDescent="0.3">
      <c r="A17" s="1" t="s">
        <v>19</v>
      </c>
      <c r="B17" s="1" t="s">
        <v>43</v>
      </c>
      <c r="C17" s="1" t="s">
        <v>20</v>
      </c>
      <c r="D17" s="1" t="s">
        <v>21</v>
      </c>
      <c r="E17" s="1">
        <v>1502.93</v>
      </c>
      <c r="F17" s="1">
        <v>14</v>
      </c>
      <c r="G17" s="2">
        <v>0.2</v>
      </c>
      <c r="H17" s="3">
        <v>45410</v>
      </c>
      <c r="I17" s="1">
        <v>300.58999999999997</v>
      </c>
      <c r="J17" s="8" t="str">
        <f t="shared" si="0"/>
        <v>Apr-2024</v>
      </c>
      <c r="K17" s="24">
        <f t="shared" ca="1" si="1"/>
        <v>46115.806767245369</v>
      </c>
    </row>
    <row r="18" spans="1:11" x14ac:dyDescent="0.3">
      <c r="A18" s="1" t="s">
        <v>44</v>
      </c>
      <c r="B18" s="1" t="s">
        <v>14</v>
      </c>
      <c r="C18" s="1" t="s">
        <v>20</v>
      </c>
      <c r="D18" s="1" t="s">
        <v>12</v>
      </c>
      <c r="E18" s="1">
        <v>877.58</v>
      </c>
      <c r="F18" s="1">
        <v>10</v>
      </c>
      <c r="G18" s="2">
        <v>0.15</v>
      </c>
      <c r="H18" s="3">
        <v>45411</v>
      </c>
      <c r="I18" s="1">
        <v>298.38</v>
      </c>
      <c r="J18" s="8" t="str">
        <f t="shared" si="0"/>
        <v>Apr-2024</v>
      </c>
      <c r="K18" s="24">
        <f t="shared" ca="1" si="1"/>
        <v>46115.806767245369</v>
      </c>
    </row>
    <row r="19" spans="1:11" x14ac:dyDescent="0.3">
      <c r="A19" s="1" t="s">
        <v>28</v>
      </c>
      <c r="B19" s="1" t="s">
        <v>45</v>
      </c>
      <c r="C19" s="1" t="s">
        <v>11</v>
      </c>
      <c r="D19" s="1" t="s">
        <v>12</v>
      </c>
      <c r="E19" s="1">
        <v>636.70000000000005</v>
      </c>
      <c r="F19" s="1">
        <v>4</v>
      </c>
      <c r="G19" s="2">
        <v>0.2</v>
      </c>
      <c r="H19" s="3">
        <v>45411</v>
      </c>
      <c r="I19" s="1">
        <v>203.74</v>
      </c>
      <c r="J19" s="8" t="str">
        <f t="shared" si="0"/>
        <v>Apr-2024</v>
      </c>
      <c r="K19" s="24">
        <f t="shared" ca="1" si="1"/>
        <v>46115.806767245369</v>
      </c>
    </row>
    <row r="20" spans="1:11" x14ac:dyDescent="0.3">
      <c r="A20" s="1" t="s">
        <v>46</v>
      </c>
      <c r="B20" s="1" t="s">
        <v>47</v>
      </c>
      <c r="C20" s="1" t="s">
        <v>11</v>
      </c>
      <c r="D20" s="1" t="s">
        <v>12</v>
      </c>
      <c r="E20" s="1">
        <v>1506.14</v>
      </c>
      <c r="F20" s="1">
        <v>13</v>
      </c>
      <c r="G20" s="2">
        <v>0.2</v>
      </c>
      <c r="H20" s="3">
        <v>45412</v>
      </c>
      <c r="I20" s="1">
        <v>481.96</v>
      </c>
      <c r="J20" s="8" t="str">
        <f t="shared" si="0"/>
        <v>Apr-2024</v>
      </c>
      <c r="K20" s="24">
        <f t="shared" ca="1" si="1"/>
        <v>46115.806767245369</v>
      </c>
    </row>
    <row r="21" spans="1:11" x14ac:dyDescent="0.3">
      <c r="A21" s="1" t="s">
        <v>30</v>
      </c>
      <c r="B21" s="1" t="s">
        <v>31</v>
      </c>
      <c r="C21" s="1" t="s">
        <v>34</v>
      </c>
      <c r="D21" s="1" t="s">
        <v>21</v>
      </c>
      <c r="E21" s="1">
        <v>645.02</v>
      </c>
      <c r="F21" s="1">
        <v>4</v>
      </c>
      <c r="G21" s="2">
        <v>0</v>
      </c>
      <c r="H21" s="3">
        <v>45414</v>
      </c>
      <c r="I21" s="1">
        <v>161.26</v>
      </c>
      <c r="J21" s="8" t="str">
        <f t="shared" si="0"/>
        <v>May-2024</v>
      </c>
      <c r="K21" s="24">
        <f t="shared" ca="1" si="1"/>
        <v>46115.806767245369</v>
      </c>
    </row>
    <row r="22" spans="1:11" x14ac:dyDescent="0.3">
      <c r="A22" s="1" t="s">
        <v>25</v>
      </c>
      <c r="B22" s="1" t="s">
        <v>48</v>
      </c>
      <c r="C22" s="1" t="s">
        <v>20</v>
      </c>
      <c r="D22" s="1" t="s">
        <v>15</v>
      </c>
      <c r="E22" s="1">
        <v>953.3</v>
      </c>
      <c r="F22" s="1">
        <v>11</v>
      </c>
      <c r="G22" s="2">
        <v>0</v>
      </c>
      <c r="H22" s="3">
        <v>45415</v>
      </c>
      <c r="I22" s="1">
        <v>476.65</v>
      </c>
      <c r="J22" s="8" t="str">
        <f t="shared" si="0"/>
        <v>May-2024</v>
      </c>
      <c r="K22" s="24">
        <f t="shared" ca="1" si="1"/>
        <v>46115.806767245369</v>
      </c>
    </row>
    <row r="23" spans="1:11" x14ac:dyDescent="0.3">
      <c r="A23" s="1" t="s">
        <v>49</v>
      </c>
      <c r="B23" s="1" t="s">
        <v>14</v>
      </c>
      <c r="C23" s="1" t="s">
        <v>24</v>
      </c>
      <c r="D23" s="1" t="s">
        <v>21</v>
      </c>
      <c r="E23" s="1">
        <v>388.56</v>
      </c>
      <c r="F23" s="1">
        <v>14</v>
      </c>
      <c r="G23" s="2">
        <v>0.15</v>
      </c>
      <c r="H23" s="3">
        <v>45416</v>
      </c>
      <c r="I23" s="1">
        <v>82.57</v>
      </c>
      <c r="J23" s="8" t="str">
        <f t="shared" si="0"/>
        <v>May-2024</v>
      </c>
      <c r="K23" s="24">
        <f t="shared" ca="1" si="1"/>
        <v>46115.806767245369</v>
      </c>
    </row>
    <row r="24" spans="1:11" x14ac:dyDescent="0.3">
      <c r="A24" s="1" t="s">
        <v>9</v>
      </c>
      <c r="B24" s="1" t="s">
        <v>31</v>
      </c>
      <c r="C24" s="1" t="s">
        <v>11</v>
      </c>
      <c r="D24" s="1" t="s">
        <v>12</v>
      </c>
      <c r="E24" s="1">
        <v>743.17</v>
      </c>
      <c r="F24" s="1">
        <v>9</v>
      </c>
      <c r="G24" s="2">
        <v>0</v>
      </c>
      <c r="H24" s="3">
        <v>45416</v>
      </c>
      <c r="I24" s="1">
        <v>297.27</v>
      </c>
      <c r="J24" s="8" t="str">
        <f t="shared" si="0"/>
        <v>May-2024</v>
      </c>
      <c r="K24" s="24">
        <f t="shared" ca="1" si="1"/>
        <v>46115.806767245369</v>
      </c>
    </row>
    <row r="25" spans="1:11" x14ac:dyDescent="0.3">
      <c r="A25" s="1" t="s">
        <v>40</v>
      </c>
      <c r="B25" s="1" t="s">
        <v>31</v>
      </c>
      <c r="C25" s="1" t="s">
        <v>34</v>
      </c>
      <c r="D25" s="1" t="s">
        <v>21</v>
      </c>
      <c r="E25" s="1">
        <v>706.37</v>
      </c>
      <c r="F25" s="1">
        <v>6</v>
      </c>
      <c r="G25" s="2">
        <v>0</v>
      </c>
      <c r="H25" s="3">
        <v>45416</v>
      </c>
      <c r="I25" s="1">
        <v>176.59</v>
      </c>
      <c r="J25" s="8" t="str">
        <f t="shared" si="0"/>
        <v>May-2024</v>
      </c>
      <c r="K25" s="24">
        <f t="shared" ca="1" si="1"/>
        <v>46115.806767245369</v>
      </c>
    </row>
    <row r="26" spans="1:11" x14ac:dyDescent="0.3">
      <c r="A26" s="1" t="s">
        <v>13</v>
      </c>
      <c r="B26" s="1" t="s">
        <v>31</v>
      </c>
      <c r="C26" s="1" t="s">
        <v>34</v>
      </c>
      <c r="D26" s="1" t="s">
        <v>39</v>
      </c>
      <c r="E26" s="1">
        <v>925.31</v>
      </c>
      <c r="F26" s="1">
        <v>8</v>
      </c>
      <c r="G26" s="2">
        <v>0.1</v>
      </c>
      <c r="H26" s="3">
        <v>45418</v>
      </c>
      <c r="I26" s="1">
        <v>374.75</v>
      </c>
      <c r="J26" s="8" t="str">
        <f t="shared" si="0"/>
        <v>May-2024</v>
      </c>
      <c r="K26" s="24">
        <f t="shared" ca="1" si="1"/>
        <v>46115.806767245369</v>
      </c>
    </row>
    <row r="27" spans="1:11" x14ac:dyDescent="0.3">
      <c r="A27" s="1" t="s">
        <v>35</v>
      </c>
      <c r="B27" s="1" t="s">
        <v>50</v>
      </c>
      <c r="C27" s="1" t="s">
        <v>20</v>
      </c>
      <c r="D27" s="1" t="s">
        <v>21</v>
      </c>
      <c r="E27" s="1">
        <v>1173.1199999999999</v>
      </c>
      <c r="F27" s="1">
        <v>18</v>
      </c>
      <c r="G27" s="2">
        <v>0</v>
      </c>
      <c r="H27" s="3">
        <v>45418</v>
      </c>
      <c r="I27" s="1">
        <v>293.27999999999997</v>
      </c>
      <c r="J27" s="8" t="str">
        <f t="shared" si="0"/>
        <v>May-2024</v>
      </c>
      <c r="K27" s="24">
        <f t="shared" ca="1" si="1"/>
        <v>46115.806767245369</v>
      </c>
    </row>
    <row r="28" spans="1:11" x14ac:dyDescent="0.3">
      <c r="A28" s="1" t="s">
        <v>22</v>
      </c>
      <c r="B28" s="1" t="s">
        <v>51</v>
      </c>
      <c r="C28" s="1" t="s">
        <v>24</v>
      </c>
      <c r="D28" s="1" t="s">
        <v>27</v>
      </c>
      <c r="E28" s="1">
        <v>675.54</v>
      </c>
      <c r="F28" s="1">
        <v>17</v>
      </c>
      <c r="G28" s="2">
        <v>0</v>
      </c>
      <c r="H28" s="3">
        <v>45420</v>
      </c>
      <c r="I28" s="1">
        <v>236.44</v>
      </c>
      <c r="J28" s="8" t="str">
        <f t="shared" si="0"/>
        <v>May-2024</v>
      </c>
      <c r="K28" s="24">
        <f t="shared" ca="1" si="1"/>
        <v>46115.806767245369</v>
      </c>
    </row>
    <row r="29" spans="1:11" x14ac:dyDescent="0.3">
      <c r="A29" s="1" t="s">
        <v>25</v>
      </c>
      <c r="B29" s="1" t="s">
        <v>14</v>
      </c>
      <c r="C29" s="1" t="s">
        <v>34</v>
      </c>
      <c r="D29" s="1" t="s">
        <v>12</v>
      </c>
      <c r="E29" s="1">
        <v>939.09</v>
      </c>
      <c r="F29" s="1">
        <v>2</v>
      </c>
      <c r="G29" s="2">
        <v>0.05</v>
      </c>
      <c r="H29" s="3">
        <v>45422</v>
      </c>
      <c r="I29" s="1">
        <v>356.85</v>
      </c>
      <c r="J29" s="8" t="str">
        <f t="shared" si="0"/>
        <v>May-2024</v>
      </c>
      <c r="K29" s="24">
        <f t="shared" ca="1" si="1"/>
        <v>46115.806767245369</v>
      </c>
    </row>
    <row r="30" spans="1:11" x14ac:dyDescent="0.3">
      <c r="A30" s="1" t="s">
        <v>52</v>
      </c>
      <c r="B30" s="1" t="s">
        <v>53</v>
      </c>
      <c r="C30" s="1" t="s">
        <v>18</v>
      </c>
      <c r="D30" s="1" t="s">
        <v>39</v>
      </c>
      <c r="E30" s="1">
        <v>983.34</v>
      </c>
      <c r="F30" s="1">
        <v>19</v>
      </c>
      <c r="G30" s="2">
        <v>0.1</v>
      </c>
      <c r="H30" s="3">
        <v>45426</v>
      </c>
      <c r="I30" s="1">
        <v>398.25</v>
      </c>
      <c r="J30" s="8" t="str">
        <f t="shared" si="0"/>
        <v>May-2024</v>
      </c>
      <c r="K30" s="24">
        <f t="shared" ca="1" si="1"/>
        <v>46115.806767245369</v>
      </c>
    </row>
    <row r="31" spans="1:11" x14ac:dyDescent="0.3">
      <c r="A31" s="1" t="s">
        <v>52</v>
      </c>
      <c r="B31" s="1" t="s">
        <v>23</v>
      </c>
      <c r="C31" s="1" t="s">
        <v>20</v>
      </c>
      <c r="D31" s="1" t="s">
        <v>21</v>
      </c>
      <c r="E31" s="1">
        <v>801.21</v>
      </c>
      <c r="F31" s="1">
        <v>3</v>
      </c>
      <c r="G31" s="2">
        <v>0.2</v>
      </c>
      <c r="H31" s="3">
        <v>45426</v>
      </c>
      <c r="I31" s="1">
        <v>160.24</v>
      </c>
      <c r="J31" s="8" t="str">
        <f t="shared" si="0"/>
        <v>May-2024</v>
      </c>
      <c r="K31" s="24">
        <f t="shared" ca="1" si="1"/>
        <v>46115.806767245369</v>
      </c>
    </row>
    <row r="32" spans="1:11" x14ac:dyDescent="0.3">
      <c r="A32" s="1" t="s">
        <v>54</v>
      </c>
      <c r="B32" s="1" t="s">
        <v>55</v>
      </c>
      <c r="C32" s="1" t="s">
        <v>24</v>
      </c>
      <c r="D32" s="1" t="s">
        <v>21</v>
      </c>
      <c r="E32" s="1">
        <v>1450.71</v>
      </c>
      <c r="F32" s="1">
        <v>5</v>
      </c>
      <c r="G32" s="2">
        <v>0.1</v>
      </c>
      <c r="H32" s="3">
        <v>45427</v>
      </c>
      <c r="I32" s="1">
        <v>326.41000000000003</v>
      </c>
      <c r="J32" s="8" t="str">
        <f t="shared" si="0"/>
        <v>May-2024</v>
      </c>
      <c r="K32" s="24">
        <f t="shared" ca="1" si="1"/>
        <v>46115.806767245369</v>
      </c>
    </row>
    <row r="33" spans="1:11" x14ac:dyDescent="0.3">
      <c r="A33" s="1" t="s">
        <v>49</v>
      </c>
      <c r="B33" s="1" t="s">
        <v>56</v>
      </c>
      <c r="C33" s="1" t="s">
        <v>34</v>
      </c>
      <c r="D33" s="1" t="s">
        <v>12</v>
      </c>
      <c r="E33" s="1">
        <v>1023.21</v>
      </c>
      <c r="F33" s="1">
        <v>18</v>
      </c>
      <c r="G33" s="2">
        <v>0.05</v>
      </c>
      <c r="H33" s="3">
        <v>45428</v>
      </c>
      <c r="I33" s="1">
        <v>388.82</v>
      </c>
      <c r="J33" s="8" t="str">
        <f t="shared" si="0"/>
        <v>May-2024</v>
      </c>
      <c r="K33" s="24">
        <f t="shared" ca="1" si="1"/>
        <v>46115.806767245369</v>
      </c>
    </row>
    <row r="34" spans="1:11" x14ac:dyDescent="0.3">
      <c r="A34" s="1" t="s">
        <v>28</v>
      </c>
      <c r="B34" s="1" t="s">
        <v>47</v>
      </c>
      <c r="C34" s="1" t="s">
        <v>11</v>
      </c>
      <c r="D34" s="1" t="s">
        <v>27</v>
      </c>
      <c r="E34" s="1">
        <v>853.72</v>
      </c>
      <c r="F34" s="1">
        <v>5</v>
      </c>
      <c r="G34" s="2">
        <v>0.15</v>
      </c>
      <c r="H34" s="3">
        <v>45428</v>
      </c>
      <c r="I34" s="1">
        <v>253.98</v>
      </c>
      <c r="J34" s="8" t="str">
        <f t="shared" si="0"/>
        <v>May-2024</v>
      </c>
      <c r="K34" s="24">
        <f t="shared" ca="1" si="1"/>
        <v>46115.806767245369</v>
      </c>
    </row>
    <row r="35" spans="1:11" x14ac:dyDescent="0.3">
      <c r="A35" s="1" t="s">
        <v>57</v>
      </c>
      <c r="B35" s="1" t="s">
        <v>43</v>
      </c>
      <c r="C35" s="1" t="s">
        <v>20</v>
      </c>
      <c r="D35" s="1" t="s">
        <v>21</v>
      </c>
      <c r="E35" s="1">
        <v>967.89</v>
      </c>
      <c r="F35" s="1">
        <v>10</v>
      </c>
      <c r="G35" s="2">
        <v>0.1</v>
      </c>
      <c r="H35" s="3">
        <v>45429</v>
      </c>
      <c r="I35" s="1">
        <v>217.78</v>
      </c>
      <c r="J35" s="8" t="str">
        <f t="shared" si="0"/>
        <v>May-2024</v>
      </c>
      <c r="K35" s="24">
        <f t="shared" ca="1" si="1"/>
        <v>46115.806767245369</v>
      </c>
    </row>
    <row r="36" spans="1:11" x14ac:dyDescent="0.3">
      <c r="A36" s="1" t="s">
        <v>58</v>
      </c>
      <c r="B36" s="1" t="s">
        <v>53</v>
      </c>
      <c r="C36" s="1" t="s">
        <v>24</v>
      </c>
      <c r="D36" s="1" t="s">
        <v>39</v>
      </c>
      <c r="E36" s="1">
        <v>1200.9000000000001</v>
      </c>
      <c r="F36" s="1">
        <v>14</v>
      </c>
      <c r="G36" s="2">
        <v>0.05</v>
      </c>
      <c r="H36" s="3">
        <v>45429</v>
      </c>
      <c r="I36" s="1">
        <v>513.38</v>
      </c>
      <c r="J36" s="8" t="str">
        <f t="shared" si="0"/>
        <v>May-2024</v>
      </c>
      <c r="K36" s="24">
        <f t="shared" ca="1" si="1"/>
        <v>46115.806767245369</v>
      </c>
    </row>
    <row r="37" spans="1:11" x14ac:dyDescent="0.3">
      <c r="A37" s="1" t="s">
        <v>13</v>
      </c>
      <c r="B37" s="1" t="s">
        <v>26</v>
      </c>
      <c r="C37" s="1" t="s">
        <v>11</v>
      </c>
      <c r="D37" s="1" t="s">
        <v>12</v>
      </c>
      <c r="E37" s="1">
        <v>472.38</v>
      </c>
      <c r="F37" s="1">
        <v>12</v>
      </c>
      <c r="G37" s="2">
        <v>0.2</v>
      </c>
      <c r="H37" s="3">
        <v>45429</v>
      </c>
      <c r="I37" s="1">
        <v>151.16</v>
      </c>
      <c r="J37" s="8" t="str">
        <f t="shared" si="0"/>
        <v>May-2024</v>
      </c>
      <c r="K37" s="24">
        <f t="shared" ca="1" si="1"/>
        <v>46115.806767245369</v>
      </c>
    </row>
    <row r="38" spans="1:11" x14ac:dyDescent="0.3">
      <c r="A38" s="1" t="s">
        <v>9</v>
      </c>
      <c r="B38" s="1" t="s">
        <v>55</v>
      </c>
      <c r="C38" s="1" t="s">
        <v>18</v>
      </c>
      <c r="D38" s="1" t="s">
        <v>39</v>
      </c>
      <c r="E38" s="1">
        <v>840.92</v>
      </c>
      <c r="F38" s="1">
        <v>9</v>
      </c>
      <c r="G38" s="2">
        <v>0.05</v>
      </c>
      <c r="H38" s="3">
        <v>45429</v>
      </c>
      <c r="I38" s="1">
        <v>359.49</v>
      </c>
      <c r="J38" s="8" t="str">
        <f t="shared" si="0"/>
        <v>May-2024</v>
      </c>
      <c r="K38" s="24">
        <f t="shared" ca="1" si="1"/>
        <v>46115.806767245369</v>
      </c>
    </row>
    <row r="39" spans="1:11" x14ac:dyDescent="0.3">
      <c r="A39" s="1" t="s">
        <v>52</v>
      </c>
      <c r="B39" s="1" t="s">
        <v>48</v>
      </c>
      <c r="C39" s="1" t="s">
        <v>34</v>
      </c>
      <c r="D39" s="1" t="s">
        <v>27</v>
      </c>
      <c r="E39" s="1">
        <v>1410.06</v>
      </c>
      <c r="F39" s="1">
        <v>11</v>
      </c>
      <c r="G39" s="2">
        <v>0.05</v>
      </c>
      <c r="H39" s="3">
        <v>45434</v>
      </c>
      <c r="I39" s="1">
        <v>468.84</v>
      </c>
      <c r="J39" s="8" t="str">
        <f t="shared" si="0"/>
        <v>May-2024</v>
      </c>
      <c r="K39" s="24">
        <f t="shared" ca="1" si="1"/>
        <v>46115.806767245369</v>
      </c>
    </row>
    <row r="40" spans="1:11" x14ac:dyDescent="0.3">
      <c r="A40" s="1" t="s">
        <v>44</v>
      </c>
      <c r="B40" s="1" t="s">
        <v>59</v>
      </c>
      <c r="C40" s="1" t="s">
        <v>34</v>
      </c>
      <c r="D40" s="1" t="s">
        <v>27</v>
      </c>
      <c r="E40" s="1">
        <v>773.09</v>
      </c>
      <c r="F40" s="1">
        <v>13</v>
      </c>
      <c r="G40" s="2">
        <v>0.15</v>
      </c>
      <c r="H40" s="3">
        <v>45434</v>
      </c>
      <c r="I40" s="1">
        <v>229.99</v>
      </c>
      <c r="J40" s="8" t="str">
        <f t="shared" si="0"/>
        <v>May-2024</v>
      </c>
      <c r="K40" s="24">
        <f t="shared" ca="1" si="1"/>
        <v>46115.806767245369</v>
      </c>
    </row>
    <row r="41" spans="1:11" x14ac:dyDescent="0.3">
      <c r="A41" s="1" t="s">
        <v>60</v>
      </c>
      <c r="B41" s="1" t="s">
        <v>61</v>
      </c>
      <c r="C41" s="1" t="s">
        <v>18</v>
      </c>
      <c r="D41" s="1" t="s">
        <v>12</v>
      </c>
      <c r="E41" s="1">
        <v>580.42999999999995</v>
      </c>
      <c r="F41" s="1">
        <v>19</v>
      </c>
      <c r="G41" s="2">
        <v>0.15</v>
      </c>
      <c r="H41" s="3">
        <v>45435</v>
      </c>
      <c r="I41" s="1">
        <v>197.35</v>
      </c>
      <c r="J41" s="8" t="str">
        <f t="shared" si="0"/>
        <v>May-2024</v>
      </c>
      <c r="K41" s="24">
        <f t="shared" ca="1" si="1"/>
        <v>46115.806767245369</v>
      </c>
    </row>
    <row r="42" spans="1:11" x14ac:dyDescent="0.3">
      <c r="A42" s="1" t="s">
        <v>19</v>
      </c>
      <c r="B42" s="1" t="s">
        <v>42</v>
      </c>
      <c r="C42" s="1" t="s">
        <v>20</v>
      </c>
      <c r="D42" s="1" t="s">
        <v>12</v>
      </c>
      <c r="E42" s="1">
        <v>1151.21</v>
      </c>
      <c r="F42" s="1">
        <v>15</v>
      </c>
      <c r="G42" s="2">
        <v>0.1</v>
      </c>
      <c r="H42" s="3">
        <v>45445</v>
      </c>
      <c r="I42" s="1">
        <v>414.44</v>
      </c>
      <c r="J42" s="8" t="str">
        <f t="shared" si="0"/>
        <v>Jun-2024</v>
      </c>
      <c r="K42" s="24">
        <f t="shared" ca="1" si="1"/>
        <v>46115.806767245369</v>
      </c>
    </row>
    <row r="43" spans="1:11" x14ac:dyDescent="0.3">
      <c r="A43" s="1" t="s">
        <v>52</v>
      </c>
      <c r="B43" s="1" t="s">
        <v>23</v>
      </c>
      <c r="C43" s="1" t="s">
        <v>34</v>
      </c>
      <c r="D43" s="1" t="s">
        <v>39</v>
      </c>
      <c r="E43" s="1">
        <v>1025.98</v>
      </c>
      <c r="F43" s="1">
        <v>5</v>
      </c>
      <c r="G43" s="2">
        <v>0.2</v>
      </c>
      <c r="H43" s="3">
        <v>45447</v>
      </c>
      <c r="I43" s="1">
        <v>369.35</v>
      </c>
      <c r="J43" s="8" t="str">
        <f t="shared" si="0"/>
        <v>Jun-2024</v>
      </c>
      <c r="K43" s="24">
        <f t="shared" ca="1" si="1"/>
        <v>46115.806767245369</v>
      </c>
    </row>
    <row r="44" spans="1:11" x14ac:dyDescent="0.3">
      <c r="A44" s="1" t="s">
        <v>40</v>
      </c>
      <c r="B44" s="1" t="s">
        <v>56</v>
      </c>
      <c r="C44" s="1" t="s">
        <v>18</v>
      </c>
      <c r="D44" s="1" t="s">
        <v>39</v>
      </c>
      <c r="E44" s="1">
        <v>556.41999999999996</v>
      </c>
      <c r="F44" s="1">
        <v>11</v>
      </c>
      <c r="G44" s="2">
        <v>0.15</v>
      </c>
      <c r="H44" s="3">
        <v>45447</v>
      </c>
      <c r="I44" s="1">
        <v>212.83</v>
      </c>
      <c r="J44" s="8" t="str">
        <f t="shared" si="0"/>
        <v>Jun-2024</v>
      </c>
      <c r="K44" s="24">
        <f t="shared" ca="1" si="1"/>
        <v>46115.806767245369</v>
      </c>
    </row>
    <row r="45" spans="1:11" x14ac:dyDescent="0.3">
      <c r="A45" s="1" t="s">
        <v>57</v>
      </c>
      <c r="B45" s="1" t="s">
        <v>23</v>
      </c>
      <c r="C45" s="1" t="s">
        <v>34</v>
      </c>
      <c r="D45" s="1" t="s">
        <v>12</v>
      </c>
      <c r="E45" s="1">
        <v>840.85</v>
      </c>
      <c r="F45" s="1">
        <v>19</v>
      </c>
      <c r="G45" s="2">
        <v>0.1</v>
      </c>
      <c r="H45" s="3">
        <v>45448</v>
      </c>
      <c r="I45" s="1">
        <v>302.70999999999998</v>
      </c>
      <c r="J45" s="8" t="str">
        <f t="shared" si="0"/>
        <v>Jun-2024</v>
      </c>
      <c r="K45" s="24">
        <f t="shared" ca="1" si="1"/>
        <v>46115.806767245369</v>
      </c>
    </row>
    <row r="46" spans="1:11" x14ac:dyDescent="0.3">
      <c r="A46" s="1" t="s">
        <v>30</v>
      </c>
      <c r="B46" s="1" t="s">
        <v>61</v>
      </c>
      <c r="C46" s="1" t="s">
        <v>24</v>
      </c>
      <c r="D46" s="1" t="s">
        <v>27</v>
      </c>
      <c r="E46" s="1">
        <v>1227.25</v>
      </c>
      <c r="F46" s="1">
        <v>12</v>
      </c>
      <c r="G46" s="2">
        <v>0.15</v>
      </c>
      <c r="H46" s="3">
        <v>45448</v>
      </c>
      <c r="I46" s="1">
        <v>365.11</v>
      </c>
      <c r="J46" s="8" t="str">
        <f t="shared" si="0"/>
        <v>Jun-2024</v>
      </c>
      <c r="K46" s="24">
        <f t="shared" ca="1" si="1"/>
        <v>46115.806767245369</v>
      </c>
    </row>
    <row r="47" spans="1:11" x14ac:dyDescent="0.3">
      <c r="A47" s="1" t="s">
        <v>16</v>
      </c>
      <c r="B47" s="1" t="s">
        <v>62</v>
      </c>
      <c r="C47" s="1" t="s">
        <v>34</v>
      </c>
      <c r="D47" s="1" t="s">
        <v>21</v>
      </c>
      <c r="E47" s="1">
        <v>856.7</v>
      </c>
      <c r="F47" s="1">
        <v>2</v>
      </c>
      <c r="G47" s="2">
        <v>0</v>
      </c>
      <c r="H47" s="3">
        <v>45449</v>
      </c>
      <c r="I47" s="1">
        <v>214.18</v>
      </c>
      <c r="J47" s="8" t="str">
        <f t="shared" si="0"/>
        <v>Jun-2024</v>
      </c>
      <c r="K47" s="24">
        <f t="shared" ca="1" si="1"/>
        <v>46115.806767245369</v>
      </c>
    </row>
    <row r="48" spans="1:11" x14ac:dyDescent="0.3">
      <c r="A48" s="1" t="s">
        <v>54</v>
      </c>
      <c r="B48" s="1" t="s">
        <v>56</v>
      </c>
      <c r="C48" s="1" t="s">
        <v>34</v>
      </c>
      <c r="D48" s="1" t="s">
        <v>39</v>
      </c>
      <c r="E48" s="1">
        <v>1225.42</v>
      </c>
      <c r="F48" s="1">
        <v>8</v>
      </c>
      <c r="G48" s="2">
        <v>0.15</v>
      </c>
      <c r="H48" s="3">
        <v>45449</v>
      </c>
      <c r="I48" s="1">
        <v>468.72</v>
      </c>
      <c r="J48" s="8" t="str">
        <f t="shared" si="0"/>
        <v>Jun-2024</v>
      </c>
      <c r="K48" s="24">
        <f t="shared" ca="1" si="1"/>
        <v>46115.806767245369</v>
      </c>
    </row>
    <row r="49" spans="1:11" x14ac:dyDescent="0.3">
      <c r="A49" s="1" t="s">
        <v>63</v>
      </c>
      <c r="B49" s="1" t="s">
        <v>31</v>
      </c>
      <c r="C49" s="1" t="s">
        <v>24</v>
      </c>
      <c r="D49" s="1" t="s">
        <v>39</v>
      </c>
      <c r="E49" s="1">
        <v>1001.57</v>
      </c>
      <c r="F49" s="1">
        <v>12</v>
      </c>
      <c r="G49" s="2">
        <v>0</v>
      </c>
      <c r="H49" s="3">
        <v>45450</v>
      </c>
      <c r="I49" s="1">
        <v>450.71</v>
      </c>
      <c r="J49" s="8" t="str">
        <f t="shared" si="0"/>
        <v>Jun-2024</v>
      </c>
      <c r="K49" s="24">
        <f t="shared" ca="1" si="1"/>
        <v>46115.806767245369</v>
      </c>
    </row>
    <row r="50" spans="1:11" x14ac:dyDescent="0.3">
      <c r="A50" s="1" t="s">
        <v>57</v>
      </c>
      <c r="B50" s="1" t="s">
        <v>26</v>
      </c>
      <c r="C50" s="1" t="s">
        <v>18</v>
      </c>
      <c r="D50" s="1" t="s">
        <v>27</v>
      </c>
      <c r="E50" s="1">
        <v>1186.8499999999999</v>
      </c>
      <c r="F50" s="1">
        <v>19</v>
      </c>
      <c r="G50" s="2">
        <v>0.2</v>
      </c>
      <c r="H50" s="3">
        <v>45451</v>
      </c>
      <c r="I50" s="1">
        <v>332.32</v>
      </c>
      <c r="J50" s="8" t="str">
        <f t="shared" si="0"/>
        <v>Jun-2024</v>
      </c>
      <c r="K50" s="24">
        <f t="shared" ca="1" si="1"/>
        <v>46115.806767245369</v>
      </c>
    </row>
    <row r="51" spans="1:11" x14ac:dyDescent="0.3">
      <c r="A51" s="1" t="s">
        <v>44</v>
      </c>
      <c r="B51" s="1" t="s">
        <v>51</v>
      </c>
      <c r="C51" s="1" t="s">
        <v>20</v>
      </c>
      <c r="D51" s="1" t="s">
        <v>21</v>
      </c>
      <c r="E51" s="1">
        <v>775.45</v>
      </c>
      <c r="F51" s="1">
        <v>6</v>
      </c>
      <c r="G51" s="2">
        <v>0.1</v>
      </c>
      <c r="H51" s="3">
        <v>45457</v>
      </c>
      <c r="I51" s="1">
        <v>174.48</v>
      </c>
      <c r="J51" s="8" t="str">
        <f t="shared" si="0"/>
        <v>Jun-2024</v>
      </c>
      <c r="K51" s="24">
        <f t="shared" ca="1" si="1"/>
        <v>46115.806767245369</v>
      </c>
    </row>
    <row r="52" spans="1:11" x14ac:dyDescent="0.3">
      <c r="A52" s="1" t="s">
        <v>25</v>
      </c>
      <c r="B52" s="1" t="s">
        <v>33</v>
      </c>
      <c r="C52" s="1" t="s">
        <v>20</v>
      </c>
      <c r="D52" s="1" t="s">
        <v>21</v>
      </c>
      <c r="E52" s="1">
        <v>1021.47</v>
      </c>
      <c r="F52" s="1">
        <v>6</v>
      </c>
      <c r="G52" s="2">
        <v>0.05</v>
      </c>
      <c r="H52" s="3">
        <v>45461</v>
      </c>
      <c r="I52" s="1">
        <v>242.6</v>
      </c>
      <c r="J52" s="8" t="str">
        <f t="shared" si="0"/>
        <v>Jun-2024</v>
      </c>
      <c r="K52" s="24">
        <f t="shared" ca="1" si="1"/>
        <v>46115.806767245369</v>
      </c>
    </row>
    <row r="53" spans="1:11" x14ac:dyDescent="0.3">
      <c r="A53" s="1" t="s">
        <v>58</v>
      </c>
      <c r="B53" s="1" t="s">
        <v>23</v>
      </c>
      <c r="C53" s="1" t="s">
        <v>20</v>
      </c>
      <c r="D53" s="1" t="s">
        <v>15</v>
      </c>
      <c r="E53" s="1">
        <v>1226.6199999999999</v>
      </c>
      <c r="F53" s="1">
        <v>7</v>
      </c>
      <c r="G53" s="2">
        <v>0.1</v>
      </c>
      <c r="H53" s="3">
        <v>45463</v>
      </c>
      <c r="I53" s="1">
        <v>551.98</v>
      </c>
      <c r="J53" s="8" t="str">
        <f t="shared" si="0"/>
        <v>Jun-2024</v>
      </c>
      <c r="K53" s="24">
        <f t="shared" ca="1" si="1"/>
        <v>46115.806767245369</v>
      </c>
    </row>
    <row r="54" spans="1:11" x14ac:dyDescent="0.3">
      <c r="A54" s="1" t="s">
        <v>22</v>
      </c>
      <c r="B54" s="1" t="s">
        <v>64</v>
      </c>
      <c r="C54" s="1" t="s">
        <v>20</v>
      </c>
      <c r="D54" s="1" t="s">
        <v>27</v>
      </c>
      <c r="E54" s="1">
        <v>1086.93</v>
      </c>
      <c r="F54" s="1">
        <v>2</v>
      </c>
      <c r="G54" s="2">
        <v>0</v>
      </c>
      <c r="H54" s="3">
        <v>45464</v>
      </c>
      <c r="I54" s="1">
        <v>380.43</v>
      </c>
      <c r="J54" s="8" t="str">
        <f t="shared" si="0"/>
        <v>Jun-2024</v>
      </c>
      <c r="K54" s="24">
        <f t="shared" ca="1" si="1"/>
        <v>46115.806767245369</v>
      </c>
    </row>
    <row r="55" spans="1:11" x14ac:dyDescent="0.3">
      <c r="A55" s="1" t="s">
        <v>65</v>
      </c>
      <c r="B55" s="1" t="s">
        <v>48</v>
      </c>
      <c r="C55" s="1" t="s">
        <v>11</v>
      </c>
      <c r="D55" s="1" t="s">
        <v>12</v>
      </c>
      <c r="E55" s="1">
        <v>942.9</v>
      </c>
      <c r="F55" s="1">
        <v>18</v>
      </c>
      <c r="G55" s="2">
        <v>0.1</v>
      </c>
      <c r="H55" s="3">
        <v>45466</v>
      </c>
      <c r="I55" s="1">
        <v>339.44</v>
      </c>
      <c r="J55" s="8" t="str">
        <f t="shared" si="0"/>
        <v>Jun-2024</v>
      </c>
      <c r="K55" s="24">
        <f t="shared" ca="1" si="1"/>
        <v>46115.806767245369</v>
      </c>
    </row>
    <row r="56" spans="1:11" x14ac:dyDescent="0.3">
      <c r="A56" s="1" t="s">
        <v>32</v>
      </c>
      <c r="B56" s="1" t="s">
        <v>38</v>
      </c>
      <c r="C56" s="1" t="s">
        <v>24</v>
      </c>
      <c r="D56" s="1" t="s">
        <v>21</v>
      </c>
      <c r="E56" s="1">
        <v>818.8</v>
      </c>
      <c r="F56" s="1">
        <v>15</v>
      </c>
      <c r="G56" s="2">
        <v>0.15</v>
      </c>
      <c r="H56" s="3">
        <v>45468</v>
      </c>
      <c r="I56" s="1">
        <v>173.99</v>
      </c>
      <c r="J56" s="8" t="str">
        <f t="shared" si="0"/>
        <v>Jun-2024</v>
      </c>
      <c r="K56" s="24">
        <f t="shared" ca="1" si="1"/>
        <v>46115.806767245369</v>
      </c>
    </row>
    <row r="57" spans="1:11" x14ac:dyDescent="0.3">
      <c r="A57" s="1" t="s">
        <v>19</v>
      </c>
      <c r="B57" s="1" t="s">
        <v>14</v>
      </c>
      <c r="C57" s="1" t="s">
        <v>20</v>
      </c>
      <c r="D57" s="1" t="s">
        <v>27</v>
      </c>
      <c r="E57" s="1">
        <v>919.04</v>
      </c>
      <c r="F57" s="1">
        <v>10</v>
      </c>
      <c r="G57" s="2">
        <v>0.2</v>
      </c>
      <c r="H57" s="3">
        <v>45468</v>
      </c>
      <c r="I57" s="1">
        <v>257.33</v>
      </c>
      <c r="J57" s="8" t="str">
        <f t="shared" si="0"/>
        <v>Jun-2024</v>
      </c>
      <c r="K57" s="24">
        <f t="shared" ca="1" si="1"/>
        <v>46115.806767245369</v>
      </c>
    </row>
    <row r="58" spans="1:11" x14ac:dyDescent="0.3">
      <c r="A58" s="1" t="s">
        <v>22</v>
      </c>
      <c r="B58" s="1" t="s">
        <v>66</v>
      </c>
      <c r="C58" s="1" t="s">
        <v>34</v>
      </c>
      <c r="D58" s="1" t="s">
        <v>12</v>
      </c>
      <c r="E58" s="1">
        <v>973.26</v>
      </c>
      <c r="F58" s="1">
        <v>11</v>
      </c>
      <c r="G58" s="2">
        <v>0</v>
      </c>
      <c r="H58" s="3">
        <v>45470</v>
      </c>
      <c r="I58" s="1">
        <v>389.3</v>
      </c>
      <c r="J58" s="8" t="str">
        <f t="shared" si="0"/>
        <v>Jun-2024</v>
      </c>
      <c r="K58" s="24">
        <f t="shared" ca="1" si="1"/>
        <v>46115.806767245369</v>
      </c>
    </row>
    <row r="59" spans="1:11" x14ac:dyDescent="0.3">
      <c r="A59" s="1" t="s">
        <v>41</v>
      </c>
      <c r="B59" s="1" t="s">
        <v>64</v>
      </c>
      <c r="C59" s="1" t="s">
        <v>24</v>
      </c>
      <c r="D59" s="1" t="s">
        <v>21</v>
      </c>
      <c r="E59" s="1">
        <v>741.61</v>
      </c>
      <c r="F59" s="1">
        <v>1</v>
      </c>
      <c r="G59" s="2">
        <v>0.2</v>
      </c>
      <c r="H59" s="3">
        <v>45471</v>
      </c>
      <c r="I59" s="1">
        <v>148.32</v>
      </c>
      <c r="J59" s="8" t="str">
        <f t="shared" si="0"/>
        <v>Jun-2024</v>
      </c>
      <c r="K59" s="24">
        <f t="shared" ca="1" si="1"/>
        <v>46115.806767245369</v>
      </c>
    </row>
    <row r="60" spans="1:11" x14ac:dyDescent="0.3">
      <c r="A60" s="1" t="s">
        <v>67</v>
      </c>
      <c r="B60" s="1" t="s">
        <v>38</v>
      </c>
      <c r="C60" s="1" t="s">
        <v>24</v>
      </c>
      <c r="D60" s="1" t="s">
        <v>12</v>
      </c>
      <c r="E60" s="1">
        <v>1248.82</v>
      </c>
      <c r="F60" s="1">
        <v>2</v>
      </c>
      <c r="G60" s="2">
        <v>0.1</v>
      </c>
      <c r="H60" s="3">
        <v>45473</v>
      </c>
      <c r="I60" s="1">
        <v>449.58</v>
      </c>
      <c r="J60" s="8" t="str">
        <f t="shared" si="0"/>
        <v>Jun-2024</v>
      </c>
      <c r="K60" s="24">
        <f t="shared" ca="1" si="1"/>
        <v>46115.806767245369</v>
      </c>
    </row>
    <row r="61" spans="1:11" x14ac:dyDescent="0.3">
      <c r="A61" s="1" t="s">
        <v>13</v>
      </c>
      <c r="B61" s="1" t="s">
        <v>59</v>
      </c>
      <c r="C61" s="1" t="s">
        <v>11</v>
      </c>
      <c r="D61" s="1" t="s">
        <v>15</v>
      </c>
      <c r="E61" s="1">
        <v>1360.36</v>
      </c>
      <c r="F61" s="1">
        <v>17</v>
      </c>
      <c r="G61" s="2">
        <v>0</v>
      </c>
      <c r="H61" s="3">
        <v>45473</v>
      </c>
      <c r="I61" s="1">
        <v>680.18</v>
      </c>
      <c r="J61" s="8" t="str">
        <f t="shared" si="0"/>
        <v>Jun-2024</v>
      </c>
      <c r="K61" s="24">
        <f t="shared" ca="1" si="1"/>
        <v>46115.806767245369</v>
      </c>
    </row>
    <row r="62" spans="1:11" x14ac:dyDescent="0.3">
      <c r="A62" s="1" t="s">
        <v>57</v>
      </c>
      <c r="B62" s="1" t="s">
        <v>31</v>
      </c>
      <c r="C62" s="1" t="s">
        <v>18</v>
      </c>
      <c r="D62" s="1" t="s">
        <v>12</v>
      </c>
      <c r="E62" s="1">
        <v>1383.3</v>
      </c>
      <c r="F62" s="1">
        <v>8</v>
      </c>
      <c r="G62" s="2">
        <v>0.1</v>
      </c>
      <c r="H62" s="3">
        <v>45478</v>
      </c>
      <c r="I62" s="1">
        <v>497.99</v>
      </c>
      <c r="J62" s="8" t="str">
        <f t="shared" si="0"/>
        <v>Jul-2024</v>
      </c>
      <c r="K62" s="24">
        <f t="shared" ca="1" si="1"/>
        <v>46115.806767245369</v>
      </c>
    </row>
    <row r="63" spans="1:11" x14ac:dyDescent="0.3">
      <c r="A63" s="1" t="s">
        <v>35</v>
      </c>
      <c r="B63" s="1" t="s">
        <v>55</v>
      </c>
      <c r="C63" s="1" t="s">
        <v>34</v>
      </c>
      <c r="D63" s="1" t="s">
        <v>39</v>
      </c>
      <c r="E63" s="1">
        <v>488.99</v>
      </c>
      <c r="F63" s="1">
        <v>9</v>
      </c>
      <c r="G63" s="2">
        <v>0</v>
      </c>
      <c r="H63" s="3">
        <v>45479</v>
      </c>
      <c r="I63" s="1">
        <v>220.05</v>
      </c>
      <c r="J63" s="8" t="str">
        <f t="shared" si="0"/>
        <v>Jul-2024</v>
      </c>
      <c r="K63" s="24">
        <f t="shared" ca="1" si="1"/>
        <v>46115.806767245369</v>
      </c>
    </row>
    <row r="64" spans="1:11" x14ac:dyDescent="0.3">
      <c r="A64" s="1" t="s">
        <v>30</v>
      </c>
      <c r="B64" s="1" t="s">
        <v>31</v>
      </c>
      <c r="C64" s="1" t="s">
        <v>18</v>
      </c>
      <c r="D64" s="1" t="s">
        <v>27</v>
      </c>
      <c r="E64" s="1">
        <v>933.71</v>
      </c>
      <c r="F64" s="1">
        <v>17</v>
      </c>
      <c r="G64" s="2">
        <v>0.1</v>
      </c>
      <c r="H64" s="3">
        <v>45481</v>
      </c>
      <c r="I64" s="1">
        <v>294.12</v>
      </c>
      <c r="J64" s="8" t="str">
        <f t="shared" si="0"/>
        <v>Jul-2024</v>
      </c>
      <c r="K64" s="24">
        <f t="shared" ca="1" si="1"/>
        <v>46115.806767245369</v>
      </c>
    </row>
    <row r="65" spans="1:11" x14ac:dyDescent="0.3">
      <c r="A65" s="1" t="s">
        <v>67</v>
      </c>
      <c r="B65" s="1" t="s">
        <v>10</v>
      </c>
      <c r="C65" s="1" t="s">
        <v>11</v>
      </c>
      <c r="D65" s="1" t="s">
        <v>21</v>
      </c>
      <c r="E65" s="1">
        <v>1005.53</v>
      </c>
      <c r="F65" s="1">
        <v>17</v>
      </c>
      <c r="G65" s="2">
        <v>0.2</v>
      </c>
      <c r="H65" s="3">
        <v>45481</v>
      </c>
      <c r="I65" s="1">
        <v>201.11</v>
      </c>
      <c r="J65" s="8" t="str">
        <f t="shared" si="0"/>
        <v>Jul-2024</v>
      </c>
      <c r="K65" s="24">
        <f t="shared" ca="1" si="1"/>
        <v>46115.806767245369</v>
      </c>
    </row>
    <row r="66" spans="1:11" x14ac:dyDescent="0.3">
      <c r="A66" s="1" t="s">
        <v>41</v>
      </c>
      <c r="B66" s="1" t="s">
        <v>61</v>
      </c>
      <c r="C66" s="1" t="s">
        <v>20</v>
      </c>
      <c r="D66" s="1" t="s">
        <v>21</v>
      </c>
      <c r="E66" s="1">
        <v>1100.0999999999999</v>
      </c>
      <c r="F66" s="1">
        <v>5</v>
      </c>
      <c r="G66" s="2">
        <v>0.05</v>
      </c>
      <c r="H66" s="3">
        <v>45482</v>
      </c>
      <c r="I66" s="1">
        <v>261.27</v>
      </c>
      <c r="J66" s="8" t="str">
        <f t="shared" si="0"/>
        <v>Jul-2024</v>
      </c>
      <c r="K66" s="24">
        <f t="shared" ca="1" si="1"/>
        <v>46115.806767245369</v>
      </c>
    </row>
    <row r="67" spans="1:11" x14ac:dyDescent="0.3">
      <c r="A67" s="1" t="s">
        <v>67</v>
      </c>
      <c r="B67" s="1" t="s">
        <v>23</v>
      </c>
      <c r="C67" s="1" t="s">
        <v>24</v>
      </c>
      <c r="D67" s="1" t="s">
        <v>27</v>
      </c>
      <c r="E67" s="1">
        <v>1034.7</v>
      </c>
      <c r="F67" s="1">
        <v>15</v>
      </c>
      <c r="G67" s="2">
        <v>0.15</v>
      </c>
      <c r="H67" s="3">
        <v>45487</v>
      </c>
      <c r="I67" s="1">
        <v>307.82</v>
      </c>
      <c r="J67" s="8" t="str">
        <f t="shared" ref="J67:J130" si="2">TEXT(H67,"mmm-yyy")</f>
        <v>Jul-2024</v>
      </c>
      <c r="K67" s="24">
        <f t="shared" ref="K67:K130" ca="1" si="3">NOW()</f>
        <v>46115.806767245369</v>
      </c>
    </row>
    <row r="68" spans="1:11" x14ac:dyDescent="0.3">
      <c r="A68" s="1" t="s">
        <v>65</v>
      </c>
      <c r="B68" s="1" t="s">
        <v>31</v>
      </c>
      <c r="C68" s="1" t="s">
        <v>20</v>
      </c>
      <c r="D68" s="1" t="s">
        <v>12</v>
      </c>
      <c r="E68" s="1">
        <v>876.44</v>
      </c>
      <c r="F68" s="1">
        <v>12</v>
      </c>
      <c r="G68" s="2">
        <v>0.05</v>
      </c>
      <c r="H68" s="3">
        <v>45488</v>
      </c>
      <c r="I68" s="1">
        <v>333.05</v>
      </c>
      <c r="J68" s="8" t="str">
        <f t="shared" si="2"/>
        <v>Jul-2024</v>
      </c>
      <c r="K68" s="24">
        <f t="shared" ca="1" si="3"/>
        <v>46115.806767245369</v>
      </c>
    </row>
    <row r="69" spans="1:11" x14ac:dyDescent="0.3">
      <c r="A69" s="1" t="s">
        <v>68</v>
      </c>
      <c r="B69" s="1" t="s">
        <v>55</v>
      </c>
      <c r="C69" s="1" t="s">
        <v>11</v>
      </c>
      <c r="D69" s="1" t="s">
        <v>27</v>
      </c>
      <c r="E69" s="1">
        <v>1371.34</v>
      </c>
      <c r="F69" s="1">
        <v>5</v>
      </c>
      <c r="G69" s="2">
        <v>0.05</v>
      </c>
      <c r="H69" s="3">
        <v>45488</v>
      </c>
      <c r="I69" s="1">
        <v>455.97</v>
      </c>
      <c r="J69" s="8" t="str">
        <f t="shared" si="2"/>
        <v>Jul-2024</v>
      </c>
      <c r="K69" s="24">
        <f t="shared" ca="1" si="3"/>
        <v>46115.806767245369</v>
      </c>
    </row>
    <row r="70" spans="1:11" x14ac:dyDescent="0.3">
      <c r="A70" s="1" t="s">
        <v>57</v>
      </c>
      <c r="B70" s="1" t="s">
        <v>47</v>
      </c>
      <c r="C70" s="1" t="s">
        <v>24</v>
      </c>
      <c r="D70" s="1" t="s">
        <v>21</v>
      </c>
      <c r="E70" s="1">
        <v>1020.26</v>
      </c>
      <c r="F70" s="1">
        <v>11</v>
      </c>
      <c r="G70" s="2">
        <v>0.05</v>
      </c>
      <c r="H70" s="3">
        <v>45494</v>
      </c>
      <c r="I70" s="1">
        <v>242.31</v>
      </c>
      <c r="J70" s="8" t="str">
        <f t="shared" si="2"/>
        <v>Jul-2024</v>
      </c>
      <c r="K70" s="24">
        <f t="shared" ca="1" si="3"/>
        <v>46115.806767245369</v>
      </c>
    </row>
    <row r="71" spans="1:11" x14ac:dyDescent="0.3">
      <c r="A71" s="1" t="s">
        <v>44</v>
      </c>
      <c r="B71" s="1" t="s">
        <v>10</v>
      </c>
      <c r="C71" s="1" t="s">
        <v>34</v>
      </c>
      <c r="D71" s="1" t="s">
        <v>39</v>
      </c>
      <c r="E71" s="1">
        <v>804.81</v>
      </c>
      <c r="F71" s="1">
        <v>1</v>
      </c>
      <c r="G71" s="2">
        <v>0.05</v>
      </c>
      <c r="H71" s="3">
        <v>45502</v>
      </c>
      <c r="I71" s="1">
        <v>344.06</v>
      </c>
      <c r="J71" s="8" t="str">
        <f t="shared" si="2"/>
        <v>Jul-2024</v>
      </c>
      <c r="K71" s="24">
        <f t="shared" ca="1" si="3"/>
        <v>46115.806767245369</v>
      </c>
    </row>
    <row r="72" spans="1:11" x14ac:dyDescent="0.3">
      <c r="A72" s="1" t="s">
        <v>22</v>
      </c>
      <c r="B72" s="1" t="s">
        <v>55</v>
      </c>
      <c r="C72" s="1" t="s">
        <v>34</v>
      </c>
      <c r="D72" s="1" t="s">
        <v>21</v>
      </c>
      <c r="E72" s="1">
        <v>608.66</v>
      </c>
      <c r="F72" s="1">
        <v>1</v>
      </c>
      <c r="G72" s="2">
        <v>0.05</v>
      </c>
      <c r="H72" s="3">
        <v>45503</v>
      </c>
      <c r="I72" s="1">
        <v>144.56</v>
      </c>
      <c r="J72" s="8" t="str">
        <f t="shared" si="2"/>
        <v>Jul-2024</v>
      </c>
      <c r="K72" s="24">
        <f t="shared" ca="1" si="3"/>
        <v>46115.806767245369</v>
      </c>
    </row>
    <row r="73" spans="1:11" x14ac:dyDescent="0.3">
      <c r="A73" s="1" t="s">
        <v>68</v>
      </c>
      <c r="B73" s="1" t="s">
        <v>69</v>
      </c>
      <c r="C73" s="1" t="s">
        <v>20</v>
      </c>
      <c r="D73" s="1" t="s">
        <v>39</v>
      </c>
      <c r="E73" s="1">
        <v>981.2</v>
      </c>
      <c r="F73" s="1">
        <v>19</v>
      </c>
      <c r="G73" s="2">
        <v>0</v>
      </c>
      <c r="H73" s="3">
        <v>45504</v>
      </c>
      <c r="I73" s="1">
        <v>441.54</v>
      </c>
      <c r="J73" s="8" t="str">
        <f t="shared" si="2"/>
        <v>Jul-2024</v>
      </c>
      <c r="K73" s="24">
        <f t="shared" ca="1" si="3"/>
        <v>46115.806767245369</v>
      </c>
    </row>
    <row r="74" spans="1:11" x14ac:dyDescent="0.3">
      <c r="A74" s="1" t="s">
        <v>70</v>
      </c>
      <c r="B74" s="1" t="s">
        <v>55</v>
      </c>
      <c r="C74" s="1" t="s">
        <v>18</v>
      </c>
      <c r="D74" s="1" t="s">
        <v>21</v>
      </c>
      <c r="E74" s="1">
        <v>539.77</v>
      </c>
      <c r="F74" s="1">
        <v>10</v>
      </c>
      <c r="G74" s="2">
        <v>0.15</v>
      </c>
      <c r="H74" s="3">
        <v>45509</v>
      </c>
      <c r="I74" s="1">
        <v>114.7</v>
      </c>
      <c r="J74" s="8" t="str">
        <f t="shared" si="2"/>
        <v>Aug-2024</v>
      </c>
      <c r="K74" s="24">
        <f t="shared" ca="1" si="3"/>
        <v>46115.806767245369</v>
      </c>
    </row>
    <row r="75" spans="1:11" x14ac:dyDescent="0.3">
      <c r="A75" s="1" t="s">
        <v>13</v>
      </c>
      <c r="B75" s="1" t="s">
        <v>71</v>
      </c>
      <c r="C75" s="1" t="s">
        <v>20</v>
      </c>
      <c r="D75" s="1" t="s">
        <v>12</v>
      </c>
      <c r="E75" s="1">
        <v>804.45</v>
      </c>
      <c r="F75" s="1">
        <v>5</v>
      </c>
      <c r="G75" s="2">
        <v>0.2</v>
      </c>
      <c r="H75" s="3">
        <v>45509</v>
      </c>
      <c r="I75" s="1">
        <v>257.42</v>
      </c>
      <c r="J75" s="8" t="str">
        <f t="shared" si="2"/>
        <v>Aug-2024</v>
      </c>
      <c r="K75" s="24">
        <f t="shared" ca="1" si="3"/>
        <v>46115.806767245369</v>
      </c>
    </row>
    <row r="76" spans="1:11" x14ac:dyDescent="0.3">
      <c r="A76" s="1" t="s">
        <v>70</v>
      </c>
      <c r="B76" s="1" t="s">
        <v>38</v>
      </c>
      <c r="C76" s="1" t="s">
        <v>11</v>
      </c>
      <c r="D76" s="1" t="s">
        <v>21</v>
      </c>
      <c r="E76" s="1">
        <v>1526.6</v>
      </c>
      <c r="F76" s="1">
        <v>13</v>
      </c>
      <c r="G76" s="2">
        <v>0.2</v>
      </c>
      <c r="H76" s="3">
        <v>45512</v>
      </c>
      <c r="I76" s="1">
        <v>305.32</v>
      </c>
      <c r="J76" s="8" t="str">
        <f t="shared" si="2"/>
        <v>Aug-2024</v>
      </c>
      <c r="K76" s="24">
        <f t="shared" ca="1" si="3"/>
        <v>46115.806767245369</v>
      </c>
    </row>
    <row r="77" spans="1:11" x14ac:dyDescent="0.3">
      <c r="A77" s="1" t="s">
        <v>13</v>
      </c>
      <c r="B77" s="1" t="s">
        <v>29</v>
      </c>
      <c r="C77" s="1" t="s">
        <v>11</v>
      </c>
      <c r="D77" s="1" t="s">
        <v>21</v>
      </c>
      <c r="E77" s="1">
        <v>1215.26</v>
      </c>
      <c r="F77" s="1">
        <v>5</v>
      </c>
      <c r="G77" s="2">
        <v>0.15</v>
      </c>
      <c r="H77" s="3">
        <v>45513</v>
      </c>
      <c r="I77" s="1">
        <v>258.24</v>
      </c>
      <c r="J77" s="8" t="str">
        <f t="shared" si="2"/>
        <v>Aug-2024</v>
      </c>
      <c r="K77" s="24">
        <f t="shared" ca="1" si="3"/>
        <v>46115.806767245369</v>
      </c>
    </row>
    <row r="78" spans="1:11" x14ac:dyDescent="0.3">
      <c r="A78" s="1" t="s">
        <v>19</v>
      </c>
      <c r="B78" s="1" t="s">
        <v>53</v>
      </c>
      <c r="C78" s="1" t="s">
        <v>34</v>
      </c>
      <c r="D78" s="1" t="s">
        <v>27</v>
      </c>
      <c r="E78" s="1">
        <v>1261.3399999999999</v>
      </c>
      <c r="F78" s="1">
        <v>3</v>
      </c>
      <c r="G78" s="2">
        <v>0</v>
      </c>
      <c r="H78" s="3">
        <v>45519</v>
      </c>
      <c r="I78" s="1">
        <v>441.47</v>
      </c>
      <c r="J78" s="8" t="str">
        <f t="shared" si="2"/>
        <v>Aug-2024</v>
      </c>
      <c r="K78" s="24">
        <f t="shared" ca="1" si="3"/>
        <v>46115.806767245369</v>
      </c>
    </row>
    <row r="79" spans="1:11" x14ac:dyDescent="0.3">
      <c r="A79" s="1" t="s">
        <v>72</v>
      </c>
      <c r="B79" s="1" t="s">
        <v>45</v>
      </c>
      <c r="C79" s="1" t="s">
        <v>24</v>
      </c>
      <c r="D79" s="1" t="s">
        <v>27</v>
      </c>
      <c r="E79" s="1">
        <v>518.07000000000005</v>
      </c>
      <c r="F79" s="1">
        <v>7</v>
      </c>
      <c r="G79" s="2">
        <v>0.05</v>
      </c>
      <c r="H79" s="3">
        <v>45522</v>
      </c>
      <c r="I79" s="1">
        <v>172.26</v>
      </c>
      <c r="J79" s="8" t="str">
        <f t="shared" si="2"/>
        <v>Aug-2024</v>
      </c>
      <c r="K79" s="24">
        <f t="shared" ca="1" si="3"/>
        <v>46115.806767245369</v>
      </c>
    </row>
    <row r="80" spans="1:11" x14ac:dyDescent="0.3">
      <c r="A80" s="1" t="s">
        <v>30</v>
      </c>
      <c r="B80" s="1" t="s">
        <v>29</v>
      </c>
      <c r="C80" s="1" t="s">
        <v>11</v>
      </c>
      <c r="D80" s="1" t="s">
        <v>39</v>
      </c>
      <c r="E80" s="1">
        <v>1111.3399999999999</v>
      </c>
      <c r="F80" s="1">
        <v>1</v>
      </c>
      <c r="G80" s="2">
        <v>0</v>
      </c>
      <c r="H80" s="3">
        <v>45523</v>
      </c>
      <c r="I80" s="1">
        <v>500.1</v>
      </c>
      <c r="J80" s="8" t="str">
        <f t="shared" si="2"/>
        <v>Aug-2024</v>
      </c>
      <c r="K80" s="24">
        <f t="shared" ca="1" si="3"/>
        <v>46115.806767245369</v>
      </c>
    </row>
    <row r="81" spans="1:11" x14ac:dyDescent="0.3">
      <c r="A81" s="1" t="s">
        <v>22</v>
      </c>
      <c r="B81" s="1" t="s">
        <v>31</v>
      </c>
      <c r="C81" s="1" t="s">
        <v>18</v>
      </c>
      <c r="D81" s="1" t="s">
        <v>15</v>
      </c>
      <c r="E81" s="1">
        <v>1291.47</v>
      </c>
      <c r="F81" s="1">
        <v>18</v>
      </c>
      <c r="G81" s="2">
        <v>0.1</v>
      </c>
      <c r="H81" s="3">
        <v>45526</v>
      </c>
      <c r="I81" s="1">
        <v>581.16</v>
      </c>
      <c r="J81" s="8" t="str">
        <f t="shared" si="2"/>
        <v>Aug-2024</v>
      </c>
      <c r="K81" s="24">
        <f t="shared" ca="1" si="3"/>
        <v>46115.806767245369</v>
      </c>
    </row>
    <row r="82" spans="1:11" x14ac:dyDescent="0.3">
      <c r="A82" s="1" t="s">
        <v>25</v>
      </c>
      <c r="B82" s="1" t="s">
        <v>55</v>
      </c>
      <c r="C82" s="1" t="s">
        <v>24</v>
      </c>
      <c r="D82" s="1" t="s">
        <v>12</v>
      </c>
      <c r="E82" s="1">
        <v>679.71</v>
      </c>
      <c r="F82" s="1">
        <v>19</v>
      </c>
      <c r="G82" s="2">
        <v>0</v>
      </c>
      <c r="H82" s="3">
        <v>45534</v>
      </c>
      <c r="I82" s="1">
        <v>271.88</v>
      </c>
      <c r="J82" s="8" t="str">
        <f t="shared" si="2"/>
        <v>Aug-2024</v>
      </c>
      <c r="K82" s="24">
        <f t="shared" ca="1" si="3"/>
        <v>46115.806767245369</v>
      </c>
    </row>
    <row r="83" spans="1:11" x14ac:dyDescent="0.3">
      <c r="A83" s="1" t="s">
        <v>68</v>
      </c>
      <c r="B83" s="1" t="s">
        <v>33</v>
      </c>
      <c r="C83" s="1" t="s">
        <v>18</v>
      </c>
      <c r="D83" s="1" t="s">
        <v>27</v>
      </c>
      <c r="E83" s="1">
        <v>1143.69</v>
      </c>
      <c r="F83" s="1">
        <v>17</v>
      </c>
      <c r="G83" s="2">
        <v>0</v>
      </c>
      <c r="H83" s="3">
        <v>45534</v>
      </c>
      <c r="I83" s="1">
        <v>400.29</v>
      </c>
      <c r="J83" s="8" t="str">
        <f t="shared" si="2"/>
        <v>Aug-2024</v>
      </c>
      <c r="K83" s="24">
        <f t="shared" ca="1" si="3"/>
        <v>46115.806767245369</v>
      </c>
    </row>
    <row r="84" spans="1:11" x14ac:dyDescent="0.3">
      <c r="A84" s="1" t="s">
        <v>52</v>
      </c>
      <c r="B84" s="1" t="s">
        <v>50</v>
      </c>
      <c r="C84" s="1" t="s">
        <v>34</v>
      </c>
      <c r="D84" s="1" t="s">
        <v>21</v>
      </c>
      <c r="E84" s="1">
        <v>790.08</v>
      </c>
      <c r="F84" s="1">
        <v>7</v>
      </c>
      <c r="G84" s="2">
        <v>0.1</v>
      </c>
      <c r="H84" s="3">
        <v>45536</v>
      </c>
      <c r="I84" s="1">
        <v>177.77</v>
      </c>
      <c r="J84" s="8" t="str">
        <f t="shared" si="2"/>
        <v>Sep-2024</v>
      </c>
      <c r="K84" s="24">
        <f t="shared" ca="1" si="3"/>
        <v>46115.806767245369</v>
      </c>
    </row>
    <row r="85" spans="1:11" x14ac:dyDescent="0.3">
      <c r="A85" s="1" t="s">
        <v>19</v>
      </c>
      <c r="B85" s="1" t="s">
        <v>48</v>
      </c>
      <c r="C85" s="1" t="s">
        <v>34</v>
      </c>
      <c r="D85" s="1" t="s">
        <v>12</v>
      </c>
      <c r="E85" s="1">
        <v>1070.68</v>
      </c>
      <c r="F85" s="1">
        <v>7</v>
      </c>
      <c r="G85" s="2">
        <v>0.05</v>
      </c>
      <c r="H85" s="3">
        <v>45536</v>
      </c>
      <c r="I85" s="1">
        <v>406.86</v>
      </c>
      <c r="J85" s="8" t="str">
        <f t="shared" si="2"/>
        <v>Sep-2024</v>
      </c>
      <c r="K85" s="24">
        <f t="shared" ca="1" si="3"/>
        <v>46115.806767245369</v>
      </c>
    </row>
    <row r="86" spans="1:11" x14ac:dyDescent="0.3">
      <c r="A86" s="1" t="s">
        <v>58</v>
      </c>
      <c r="B86" s="1" t="s">
        <v>36</v>
      </c>
      <c r="C86" s="1" t="s">
        <v>11</v>
      </c>
      <c r="D86" s="1" t="s">
        <v>15</v>
      </c>
      <c r="E86" s="1">
        <v>1168.8900000000001</v>
      </c>
      <c r="F86" s="1">
        <v>4</v>
      </c>
      <c r="G86" s="2">
        <v>0.1</v>
      </c>
      <c r="H86" s="3">
        <v>45544</v>
      </c>
      <c r="I86" s="1">
        <v>526</v>
      </c>
      <c r="J86" s="8" t="str">
        <f t="shared" si="2"/>
        <v>Sep-2024</v>
      </c>
      <c r="K86" s="24">
        <f t="shared" ca="1" si="3"/>
        <v>46115.806767245369</v>
      </c>
    </row>
    <row r="87" spans="1:11" x14ac:dyDescent="0.3">
      <c r="A87" s="1" t="s">
        <v>67</v>
      </c>
      <c r="B87" s="1" t="s">
        <v>10</v>
      </c>
      <c r="C87" s="1" t="s">
        <v>20</v>
      </c>
      <c r="D87" s="1" t="s">
        <v>21</v>
      </c>
      <c r="E87" s="1">
        <v>1335.87</v>
      </c>
      <c r="F87" s="1">
        <v>17</v>
      </c>
      <c r="G87" s="2">
        <v>0</v>
      </c>
      <c r="H87" s="3">
        <v>45544</v>
      </c>
      <c r="I87" s="1">
        <v>333.97</v>
      </c>
      <c r="J87" s="8" t="str">
        <f t="shared" si="2"/>
        <v>Sep-2024</v>
      </c>
      <c r="K87" s="24">
        <f t="shared" ca="1" si="3"/>
        <v>46115.806767245369</v>
      </c>
    </row>
    <row r="88" spans="1:11" x14ac:dyDescent="0.3">
      <c r="A88" s="1" t="s">
        <v>40</v>
      </c>
      <c r="B88" s="1" t="s">
        <v>55</v>
      </c>
      <c r="C88" s="1" t="s">
        <v>18</v>
      </c>
      <c r="D88" s="1" t="s">
        <v>27</v>
      </c>
      <c r="E88" s="1">
        <v>873.7</v>
      </c>
      <c r="F88" s="1">
        <v>9</v>
      </c>
      <c r="G88" s="2">
        <v>0</v>
      </c>
      <c r="H88" s="3">
        <v>45546</v>
      </c>
      <c r="I88" s="1">
        <v>305.8</v>
      </c>
      <c r="J88" s="8" t="str">
        <f t="shared" si="2"/>
        <v>Sep-2024</v>
      </c>
      <c r="K88" s="24">
        <f t="shared" ca="1" si="3"/>
        <v>46115.806767245369</v>
      </c>
    </row>
    <row r="89" spans="1:11" x14ac:dyDescent="0.3">
      <c r="A89" s="1" t="s">
        <v>72</v>
      </c>
      <c r="B89" s="1" t="s">
        <v>64</v>
      </c>
      <c r="C89" s="1" t="s">
        <v>11</v>
      </c>
      <c r="D89" s="1" t="s">
        <v>39</v>
      </c>
      <c r="E89" s="1">
        <v>1443.98</v>
      </c>
      <c r="F89" s="1">
        <v>19</v>
      </c>
      <c r="G89" s="2">
        <v>0</v>
      </c>
      <c r="H89" s="3">
        <v>45547</v>
      </c>
      <c r="I89" s="1">
        <v>649.79</v>
      </c>
      <c r="J89" s="8" t="str">
        <f t="shared" si="2"/>
        <v>Sep-2024</v>
      </c>
      <c r="K89" s="24">
        <f t="shared" ca="1" si="3"/>
        <v>46115.806767245369</v>
      </c>
    </row>
    <row r="90" spans="1:11" x14ac:dyDescent="0.3">
      <c r="A90" s="1" t="s">
        <v>40</v>
      </c>
      <c r="B90" s="1" t="s">
        <v>23</v>
      </c>
      <c r="C90" s="1" t="s">
        <v>18</v>
      </c>
      <c r="D90" s="1" t="s">
        <v>39</v>
      </c>
      <c r="E90" s="1">
        <v>1154.33</v>
      </c>
      <c r="F90" s="1">
        <v>11</v>
      </c>
      <c r="G90" s="2">
        <v>0.15</v>
      </c>
      <c r="H90" s="3">
        <v>45549</v>
      </c>
      <c r="I90" s="1">
        <v>441.53</v>
      </c>
      <c r="J90" s="8" t="str">
        <f t="shared" si="2"/>
        <v>Sep-2024</v>
      </c>
      <c r="K90" s="24">
        <f t="shared" ca="1" si="3"/>
        <v>46115.806767245369</v>
      </c>
    </row>
    <row r="91" spans="1:11" x14ac:dyDescent="0.3">
      <c r="A91" s="1" t="s">
        <v>49</v>
      </c>
      <c r="B91" s="1" t="s">
        <v>50</v>
      </c>
      <c r="C91" s="1" t="s">
        <v>20</v>
      </c>
      <c r="D91" s="1" t="s">
        <v>12</v>
      </c>
      <c r="E91" s="1">
        <v>1264.49</v>
      </c>
      <c r="F91" s="1">
        <v>16</v>
      </c>
      <c r="G91" s="2">
        <v>0.05</v>
      </c>
      <c r="H91" s="3">
        <v>45549</v>
      </c>
      <c r="I91" s="1">
        <v>480.51</v>
      </c>
      <c r="J91" s="8" t="str">
        <f t="shared" si="2"/>
        <v>Sep-2024</v>
      </c>
      <c r="K91" s="24">
        <f t="shared" ca="1" si="3"/>
        <v>46115.806767245369</v>
      </c>
    </row>
    <row r="92" spans="1:11" x14ac:dyDescent="0.3">
      <c r="A92" s="1" t="s">
        <v>25</v>
      </c>
      <c r="B92" s="1" t="s">
        <v>66</v>
      </c>
      <c r="C92" s="1" t="s">
        <v>11</v>
      </c>
      <c r="D92" s="1" t="s">
        <v>27</v>
      </c>
      <c r="E92" s="1">
        <v>1101.55</v>
      </c>
      <c r="F92" s="1">
        <v>4</v>
      </c>
      <c r="G92" s="2">
        <v>0.1</v>
      </c>
      <c r="H92" s="3">
        <v>45551</v>
      </c>
      <c r="I92" s="1">
        <v>346.99</v>
      </c>
      <c r="J92" s="8" t="str">
        <f t="shared" si="2"/>
        <v>Sep-2024</v>
      </c>
      <c r="K92" s="24">
        <f t="shared" ca="1" si="3"/>
        <v>46115.806767245369</v>
      </c>
    </row>
    <row r="93" spans="1:11" x14ac:dyDescent="0.3">
      <c r="A93" s="1" t="s">
        <v>73</v>
      </c>
      <c r="B93" s="1" t="s">
        <v>14</v>
      </c>
      <c r="C93" s="1" t="s">
        <v>20</v>
      </c>
      <c r="D93" s="1" t="s">
        <v>27</v>
      </c>
      <c r="E93" s="1">
        <v>727.73</v>
      </c>
      <c r="F93" s="1">
        <v>1</v>
      </c>
      <c r="G93" s="2">
        <v>0.1</v>
      </c>
      <c r="H93" s="3">
        <v>45552</v>
      </c>
      <c r="I93" s="1">
        <v>229.23</v>
      </c>
      <c r="J93" s="8" t="str">
        <f t="shared" si="2"/>
        <v>Sep-2024</v>
      </c>
      <c r="K93" s="24">
        <f t="shared" ca="1" si="3"/>
        <v>46115.806767245369</v>
      </c>
    </row>
    <row r="94" spans="1:11" x14ac:dyDescent="0.3">
      <c r="A94" s="1" t="s">
        <v>74</v>
      </c>
      <c r="B94" s="1" t="s">
        <v>38</v>
      </c>
      <c r="C94" s="1" t="s">
        <v>18</v>
      </c>
      <c r="D94" s="1" t="s">
        <v>39</v>
      </c>
      <c r="E94" s="1">
        <v>875.41</v>
      </c>
      <c r="F94" s="1">
        <v>13</v>
      </c>
      <c r="G94" s="2">
        <v>0.15</v>
      </c>
      <c r="H94" s="3">
        <v>45552</v>
      </c>
      <c r="I94" s="1">
        <v>334.84</v>
      </c>
      <c r="J94" s="8" t="str">
        <f t="shared" si="2"/>
        <v>Sep-2024</v>
      </c>
      <c r="K94" s="24">
        <f t="shared" ca="1" si="3"/>
        <v>46115.806767245369</v>
      </c>
    </row>
    <row r="95" spans="1:11" x14ac:dyDescent="0.3">
      <c r="A95" s="1" t="s">
        <v>67</v>
      </c>
      <c r="B95" s="1" t="s">
        <v>23</v>
      </c>
      <c r="C95" s="1" t="s">
        <v>11</v>
      </c>
      <c r="D95" s="1" t="s">
        <v>21</v>
      </c>
      <c r="E95" s="1">
        <v>1158.94</v>
      </c>
      <c r="F95" s="1">
        <v>19</v>
      </c>
      <c r="G95" s="2">
        <v>0.2</v>
      </c>
      <c r="H95" s="3">
        <v>45553</v>
      </c>
      <c r="I95" s="1">
        <v>231.79</v>
      </c>
      <c r="J95" s="8" t="str">
        <f t="shared" si="2"/>
        <v>Sep-2024</v>
      </c>
      <c r="K95" s="24">
        <f t="shared" ca="1" si="3"/>
        <v>46115.806767245369</v>
      </c>
    </row>
    <row r="96" spans="1:11" x14ac:dyDescent="0.3">
      <c r="A96" s="1" t="s">
        <v>75</v>
      </c>
      <c r="B96" s="1" t="s">
        <v>47</v>
      </c>
      <c r="C96" s="1" t="s">
        <v>20</v>
      </c>
      <c r="D96" s="1" t="s">
        <v>12</v>
      </c>
      <c r="E96" s="1">
        <v>966.3</v>
      </c>
      <c r="F96" s="1">
        <v>2</v>
      </c>
      <c r="G96" s="2">
        <v>0.15</v>
      </c>
      <c r="H96" s="3">
        <v>45557</v>
      </c>
      <c r="I96" s="1">
        <v>328.54</v>
      </c>
      <c r="J96" s="8" t="str">
        <f t="shared" si="2"/>
        <v>Sep-2024</v>
      </c>
      <c r="K96" s="24">
        <f t="shared" ca="1" si="3"/>
        <v>46115.806767245369</v>
      </c>
    </row>
    <row r="97" spans="1:11" x14ac:dyDescent="0.3">
      <c r="A97" s="1" t="s">
        <v>68</v>
      </c>
      <c r="B97" s="1" t="s">
        <v>17</v>
      </c>
      <c r="C97" s="1" t="s">
        <v>20</v>
      </c>
      <c r="D97" s="1" t="s">
        <v>12</v>
      </c>
      <c r="E97" s="1">
        <v>917.48</v>
      </c>
      <c r="F97" s="1">
        <v>6</v>
      </c>
      <c r="G97" s="2">
        <v>0</v>
      </c>
      <c r="H97" s="3">
        <v>45558</v>
      </c>
      <c r="I97" s="1">
        <v>366.99</v>
      </c>
      <c r="J97" s="8" t="str">
        <f t="shared" si="2"/>
        <v>Sep-2024</v>
      </c>
      <c r="K97" s="24">
        <f t="shared" ca="1" si="3"/>
        <v>46115.806767245369</v>
      </c>
    </row>
    <row r="98" spans="1:11" x14ac:dyDescent="0.3">
      <c r="A98" s="1" t="s">
        <v>41</v>
      </c>
      <c r="B98" s="1" t="s">
        <v>61</v>
      </c>
      <c r="C98" s="1" t="s">
        <v>11</v>
      </c>
      <c r="D98" s="1" t="s">
        <v>27</v>
      </c>
      <c r="E98" s="1">
        <v>1172.97</v>
      </c>
      <c r="F98" s="1">
        <v>7</v>
      </c>
      <c r="G98" s="2">
        <v>0.15</v>
      </c>
      <c r="H98" s="3">
        <v>45559</v>
      </c>
      <c r="I98" s="1">
        <v>348.96</v>
      </c>
      <c r="J98" s="8" t="str">
        <f t="shared" si="2"/>
        <v>Sep-2024</v>
      </c>
      <c r="K98" s="24">
        <f t="shared" ca="1" si="3"/>
        <v>46115.806767245369</v>
      </c>
    </row>
    <row r="99" spans="1:11" x14ac:dyDescent="0.3">
      <c r="A99" s="1" t="s">
        <v>57</v>
      </c>
      <c r="B99" s="1" t="s">
        <v>23</v>
      </c>
      <c r="C99" s="1" t="s">
        <v>24</v>
      </c>
      <c r="D99" s="1" t="s">
        <v>15</v>
      </c>
      <c r="E99" s="1">
        <v>1205.82</v>
      </c>
      <c r="F99" s="1">
        <v>11</v>
      </c>
      <c r="G99" s="2">
        <v>0.1</v>
      </c>
      <c r="H99" s="3">
        <v>45559</v>
      </c>
      <c r="I99" s="1">
        <v>542.62</v>
      </c>
      <c r="J99" s="8" t="str">
        <f t="shared" si="2"/>
        <v>Sep-2024</v>
      </c>
      <c r="K99" s="24">
        <f t="shared" ca="1" si="3"/>
        <v>46115.806767245369</v>
      </c>
    </row>
    <row r="100" spans="1:11" x14ac:dyDescent="0.3">
      <c r="A100" s="1" t="s">
        <v>16</v>
      </c>
      <c r="B100" s="1" t="s">
        <v>64</v>
      </c>
      <c r="C100" s="1" t="s">
        <v>11</v>
      </c>
      <c r="D100" s="1" t="s">
        <v>39</v>
      </c>
      <c r="E100" s="1">
        <v>826.93</v>
      </c>
      <c r="F100" s="1">
        <v>10</v>
      </c>
      <c r="G100" s="2">
        <v>0.2</v>
      </c>
      <c r="H100" s="3">
        <v>45564</v>
      </c>
      <c r="I100" s="1">
        <v>297.69</v>
      </c>
      <c r="J100" s="8" t="str">
        <f t="shared" si="2"/>
        <v>Sep-2024</v>
      </c>
      <c r="K100" s="24">
        <f t="shared" ca="1" si="3"/>
        <v>46115.806767245369</v>
      </c>
    </row>
    <row r="101" spans="1:11" x14ac:dyDescent="0.3">
      <c r="A101" s="1" t="s">
        <v>67</v>
      </c>
      <c r="B101" s="1" t="s">
        <v>23</v>
      </c>
      <c r="C101" s="1" t="s">
        <v>34</v>
      </c>
      <c r="D101" s="1" t="s">
        <v>15</v>
      </c>
      <c r="E101" s="1">
        <v>902.19</v>
      </c>
      <c r="F101" s="1">
        <v>12</v>
      </c>
      <c r="G101" s="2">
        <v>0</v>
      </c>
      <c r="H101" s="3">
        <v>45564</v>
      </c>
      <c r="I101" s="1">
        <v>451.1</v>
      </c>
      <c r="J101" s="8" t="str">
        <f t="shared" si="2"/>
        <v>Sep-2024</v>
      </c>
      <c r="K101" s="24">
        <f t="shared" ca="1" si="3"/>
        <v>46115.806767245369</v>
      </c>
    </row>
    <row r="102" spans="1:11" x14ac:dyDescent="0.3">
      <c r="A102" s="1" t="s">
        <v>74</v>
      </c>
      <c r="B102" s="1" t="s">
        <v>38</v>
      </c>
      <c r="C102" s="1" t="s">
        <v>24</v>
      </c>
      <c r="D102" s="1" t="s">
        <v>12</v>
      </c>
      <c r="E102" s="1">
        <v>585.97</v>
      </c>
      <c r="F102" s="1">
        <v>17</v>
      </c>
      <c r="G102" s="2">
        <v>0.1</v>
      </c>
      <c r="H102" s="3">
        <v>45565</v>
      </c>
      <c r="I102" s="1">
        <v>210.95</v>
      </c>
      <c r="J102" s="8" t="str">
        <f t="shared" si="2"/>
        <v>Sep-2024</v>
      </c>
      <c r="K102" s="24">
        <f t="shared" ca="1" si="3"/>
        <v>46115.806767245369</v>
      </c>
    </row>
    <row r="103" spans="1:11" x14ac:dyDescent="0.3">
      <c r="A103" s="1" t="s">
        <v>60</v>
      </c>
      <c r="B103" s="1" t="s">
        <v>26</v>
      </c>
      <c r="C103" s="1" t="s">
        <v>24</v>
      </c>
      <c r="D103" s="1" t="s">
        <v>15</v>
      </c>
      <c r="E103" s="1">
        <v>990.19</v>
      </c>
      <c r="F103" s="1">
        <v>8</v>
      </c>
      <c r="G103" s="2">
        <v>0.1</v>
      </c>
      <c r="H103" s="3">
        <v>45565</v>
      </c>
      <c r="I103" s="1">
        <v>445.59</v>
      </c>
      <c r="J103" s="8" t="str">
        <f t="shared" si="2"/>
        <v>Sep-2024</v>
      </c>
      <c r="K103" s="24">
        <f t="shared" ca="1" si="3"/>
        <v>46115.806767245369</v>
      </c>
    </row>
    <row r="104" spans="1:11" x14ac:dyDescent="0.3">
      <c r="A104" s="1" t="s">
        <v>44</v>
      </c>
      <c r="B104" s="1" t="s">
        <v>56</v>
      </c>
      <c r="C104" s="1" t="s">
        <v>34</v>
      </c>
      <c r="D104" s="1" t="s">
        <v>21</v>
      </c>
      <c r="E104" s="1">
        <v>1014.09</v>
      </c>
      <c r="F104" s="1">
        <v>13</v>
      </c>
      <c r="G104" s="2">
        <v>0.2</v>
      </c>
      <c r="H104" s="3">
        <v>45567</v>
      </c>
      <c r="I104" s="1">
        <v>202.82</v>
      </c>
      <c r="J104" s="8" t="str">
        <f t="shared" si="2"/>
        <v>Oct-2024</v>
      </c>
      <c r="K104" s="24">
        <f t="shared" ca="1" si="3"/>
        <v>46115.806767245369</v>
      </c>
    </row>
    <row r="105" spans="1:11" x14ac:dyDescent="0.3">
      <c r="A105" s="1" t="s">
        <v>13</v>
      </c>
      <c r="B105" s="1" t="s">
        <v>48</v>
      </c>
      <c r="C105" s="1" t="s">
        <v>24</v>
      </c>
      <c r="D105" s="1" t="s">
        <v>21</v>
      </c>
      <c r="E105" s="1">
        <v>925.29</v>
      </c>
      <c r="F105" s="1">
        <v>17</v>
      </c>
      <c r="G105" s="2">
        <v>0</v>
      </c>
      <c r="H105" s="3">
        <v>45570</v>
      </c>
      <c r="I105" s="1">
        <v>231.32</v>
      </c>
      <c r="J105" s="8" t="str">
        <f t="shared" si="2"/>
        <v>Oct-2024</v>
      </c>
      <c r="K105" s="24">
        <f t="shared" ca="1" si="3"/>
        <v>46115.806767245369</v>
      </c>
    </row>
    <row r="106" spans="1:11" x14ac:dyDescent="0.3">
      <c r="A106" s="1" t="s">
        <v>54</v>
      </c>
      <c r="B106" s="1" t="s">
        <v>47</v>
      </c>
      <c r="C106" s="1" t="s">
        <v>18</v>
      </c>
      <c r="D106" s="1" t="s">
        <v>27</v>
      </c>
      <c r="E106" s="1">
        <v>1286.54</v>
      </c>
      <c r="F106" s="1">
        <v>8</v>
      </c>
      <c r="G106" s="2">
        <v>0</v>
      </c>
      <c r="H106" s="3">
        <v>45575</v>
      </c>
      <c r="I106" s="1">
        <v>450.29</v>
      </c>
      <c r="J106" s="8" t="str">
        <f t="shared" si="2"/>
        <v>Oct-2024</v>
      </c>
      <c r="K106" s="24">
        <f t="shared" ca="1" si="3"/>
        <v>46115.806767245369</v>
      </c>
    </row>
    <row r="107" spans="1:11" x14ac:dyDescent="0.3">
      <c r="A107" s="1" t="s">
        <v>37</v>
      </c>
      <c r="B107" s="1" t="s">
        <v>64</v>
      </c>
      <c r="C107" s="1" t="s">
        <v>20</v>
      </c>
      <c r="D107" s="1" t="s">
        <v>12</v>
      </c>
      <c r="E107" s="1">
        <v>961.62</v>
      </c>
      <c r="F107" s="1">
        <v>8</v>
      </c>
      <c r="G107" s="2">
        <v>0.2</v>
      </c>
      <c r="H107" s="3">
        <v>45577</v>
      </c>
      <c r="I107" s="1">
        <v>307.72000000000003</v>
      </c>
      <c r="J107" s="8" t="str">
        <f t="shared" si="2"/>
        <v>Oct-2024</v>
      </c>
      <c r="K107" s="24">
        <f t="shared" ca="1" si="3"/>
        <v>46115.806767245369</v>
      </c>
    </row>
    <row r="108" spans="1:11" x14ac:dyDescent="0.3">
      <c r="A108" s="1" t="s">
        <v>44</v>
      </c>
      <c r="B108" s="1" t="s">
        <v>23</v>
      </c>
      <c r="C108" s="1" t="s">
        <v>18</v>
      </c>
      <c r="D108" s="1" t="s">
        <v>12</v>
      </c>
      <c r="E108" s="1">
        <v>1081.1400000000001</v>
      </c>
      <c r="F108" s="1">
        <v>19</v>
      </c>
      <c r="G108" s="2">
        <v>0.15</v>
      </c>
      <c r="H108" s="3">
        <v>45577</v>
      </c>
      <c r="I108" s="1">
        <v>367.59</v>
      </c>
      <c r="J108" s="8" t="str">
        <f t="shared" si="2"/>
        <v>Oct-2024</v>
      </c>
      <c r="K108" s="24">
        <f t="shared" ca="1" si="3"/>
        <v>46115.806767245369</v>
      </c>
    </row>
    <row r="109" spans="1:11" x14ac:dyDescent="0.3">
      <c r="A109" s="1" t="s">
        <v>58</v>
      </c>
      <c r="B109" s="1" t="s">
        <v>23</v>
      </c>
      <c r="C109" s="1" t="s">
        <v>11</v>
      </c>
      <c r="D109" s="1" t="s">
        <v>15</v>
      </c>
      <c r="E109" s="1">
        <v>1923.66</v>
      </c>
      <c r="F109" s="1">
        <v>9</v>
      </c>
      <c r="G109" s="2">
        <v>0.2</v>
      </c>
      <c r="H109" s="3">
        <v>45580</v>
      </c>
      <c r="I109" s="1">
        <v>769.46</v>
      </c>
      <c r="J109" s="8" t="str">
        <f t="shared" si="2"/>
        <v>Oct-2024</v>
      </c>
      <c r="K109" s="24">
        <f t="shared" ca="1" si="3"/>
        <v>46115.806767245369</v>
      </c>
    </row>
    <row r="110" spans="1:11" x14ac:dyDescent="0.3">
      <c r="A110" s="1" t="s">
        <v>54</v>
      </c>
      <c r="B110" s="1" t="s">
        <v>66</v>
      </c>
      <c r="C110" s="1" t="s">
        <v>34</v>
      </c>
      <c r="D110" s="1" t="s">
        <v>15</v>
      </c>
      <c r="E110" s="1">
        <v>728.71</v>
      </c>
      <c r="F110" s="1">
        <v>14</v>
      </c>
      <c r="G110" s="2">
        <v>0.1</v>
      </c>
      <c r="H110" s="3">
        <v>45581</v>
      </c>
      <c r="I110" s="1">
        <v>327.92</v>
      </c>
      <c r="J110" s="8" t="str">
        <f t="shared" si="2"/>
        <v>Oct-2024</v>
      </c>
      <c r="K110" s="24">
        <f t="shared" ca="1" si="3"/>
        <v>46115.806767245369</v>
      </c>
    </row>
    <row r="111" spans="1:11" x14ac:dyDescent="0.3">
      <c r="A111" s="1" t="s">
        <v>9</v>
      </c>
      <c r="B111" s="1" t="s">
        <v>33</v>
      </c>
      <c r="C111" s="1" t="s">
        <v>34</v>
      </c>
      <c r="D111" s="1" t="s">
        <v>15</v>
      </c>
      <c r="E111" s="1">
        <v>1301.8900000000001</v>
      </c>
      <c r="F111" s="1">
        <v>7</v>
      </c>
      <c r="G111" s="2">
        <v>0.15</v>
      </c>
      <c r="H111" s="3">
        <v>45581</v>
      </c>
      <c r="I111" s="1">
        <v>553.29999999999995</v>
      </c>
      <c r="J111" s="8" t="str">
        <f t="shared" si="2"/>
        <v>Oct-2024</v>
      </c>
      <c r="K111" s="24">
        <f t="shared" ca="1" si="3"/>
        <v>46115.806767245369</v>
      </c>
    </row>
    <row r="112" spans="1:11" x14ac:dyDescent="0.3">
      <c r="A112" s="1" t="s">
        <v>70</v>
      </c>
      <c r="B112" s="1" t="s">
        <v>66</v>
      </c>
      <c r="C112" s="1" t="s">
        <v>18</v>
      </c>
      <c r="D112" s="1" t="s">
        <v>12</v>
      </c>
      <c r="E112" s="1">
        <v>980.18</v>
      </c>
      <c r="F112" s="1">
        <v>16</v>
      </c>
      <c r="G112" s="2">
        <v>0.1</v>
      </c>
      <c r="H112" s="3">
        <v>45582</v>
      </c>
      <c r="I112" s="1">
        <v>352.86</v>
      </c>
      <c r="J112" s="8" t="str">
        <f t="shared" si="2"/>
        <v>Oct-2024</v>
      </c>
      <c r="K112" s="24">
        <f t="shared" ca="1" si="3"/>
        <v>46115.806767245369</v>
      </c>
    </row>
    <row r="113" spans="1:11" x14ac:dyDescent="0.3">
      <c r="A113" s="1" t="s">
        <v>74</v>
      </c>
      <c r="B113" s="1" t="s">
        <v>23</v>
      </c>
      <c r="C113" s="1" t="s">
        <v>11</v>
      </c>
      <c r="D113" s="1" t="s">
        <v>15</v>
      </c>
      <c r="E113" s="1">
        <v>697.57</v>
      </c>
      <c r="F113" s="1">
        <v>17</v>
      </c>
      <c r="G113" s="2">
        <v>0.1</v>
      </c>
      <c r="H113" s="3">
        <v>45584</v>
      </c>
      <c r="I113" s="1">
        <v>313.91000000000003</v>
      </c>
      <c r="J113" s="8" t="str">
        <f t="shared" si="2"/>
        <v>Oct-2024</v>
      </c>
      <c r="K113" s="24">
        <f t="shared" ca="1" si="3"/>
        <v>46115.806767245369</v>
      </c>
    </row>
    <row r="114" spans="1:11" x14ac:dyDescent="0.3">
      <c r="A114" s="1" t="s">
        <v>46</v>
      </c>
      <c r="B114" s="1" t="s">
        <v>71</v>
      </c>
      <c r="C114" s="1" t="s">
        <v>11</v>
      </c>
      <c r="D114" s="1" t="s">
        <v>27</v>
      </c>
      <c r="E114" s="1">
        <v>1193.6099999999999</v>
      </c>
      <c r="F114" s="1">
        <v>1</v>
      </c>
      <c r="G114" s="2">
        <v>0.15</v>
      </c>
      <c r="H114" s="3">
        <v>45584</v>
      </c>
      <c r="I114" s="1">
        <v>355.1</v>
      </c>
      <c r="J114" s="8" t="str">
        <f t="shared" si="2"/>
        <v>Oct-2024</v>
      </c>
      <c r="K114" s="24">
        <f t="shared" ca="1" si="3"/>
        <v>46115.806767245369</v>
      </c>
    </row>
    <row r="115" spans="1:11" x14ac:dyDescent="0.3">
      <c r="A115" s="1" t="s">
        <v>32</v>
      </c>
      <c r="B115" s="1" t="s">
        <v>38</v>
      </c>
      <c r="C115" s="1" t="s">
        <v>20</v>
      </c>
      <c r="D115" s="1" t="s">
        <v>21</v>
      </c>
      <c r="E115" s="1">
        <v>771.02</v>
      </c>
      <c r="F115" s="1">
        <v>1</v>
      </c>
      <c r="G115" s="2">
        <v>0</v>
      </c>
      <c r="H115" s="3">
        <v>45585</v>
      </c>
      <c r="I115" s="1">
        <v>192.76</v>
      </c>
      <c r="J115" s="8" t="str">
        <f t="shared" si="2"/>
        <v>Oct-2024</v>
      </c>
      <c r="K115" s="24">
        <f t="shared" ca="1" si="3"/>
        <v>46115.806767245369</v>
      </c>
    </row>
    <row r="116" spans="1:11" x14ac:dyDescent="0.3">
      <c r="A116" s="1" t="s">
        <v>67</v>
      </c>
      <c r="B116" s="1" t="s">
        <v>69</v>
      </c>
      <c r="C116" s="1" t="s">
        <v>24</v>
      </c>
      <c r="D116" s="1" t="s">
        <v>15</v>
      </c>
      <c r="E116" s="1">
        <v>661.09</v>
      </c>
      <c r="F116" s="1">
        <v>1</v>
      </c>
      <c r="G116" s="2">
        <v>0.2</v>
      </c>
      <c r="H116" s="3">
        <v>45593</v>
      </c>
      <c r="I116" s="1">
        <v>264.44</v>
      </c>
      <c r="J116" s="8" t="str">
        <f t="shared" si="2"/>
        <v>Oct-2024</v>
      </c>
      <c r="K116" s="24">
        <f t="shared" ca="1" si="3"/>
        <v>46115.806767245369</v>
      </c>
    </row>
    <row r="117" spans="1:11" x14ac:dyDescent="0.3">
      <c r="A117" s="1" t="s">
        <v>13</v>
      </c>
      <c r="B117" s="1" t="s">
        <v>55</v>
      </c>
      <c r="C117" s="1" t="s">
        <v>11</v>
      </c>
      <c r="D117" s="1" t="s">
        <v>21</v>
      </c>
      <c r="E117" s="1">
        <v>688.83</v>
      </c>
      <c r="F117" s="1">
        <v>15</v>
      </c>
      <c r="G117" s="2">
        <v>0</v>
      </c>
      <c r="H117" s="3">
        <v>45595</v>
      </c>
      <c r="I117" s="1">
        <v>172.21</v>
      </c>
      <c r="J117" s="8" t="str">
        <f t="shared" si="2"/>
        <v>Oct-2024</v>
      </c>
      <c r="K117" s="24">
        <f t="shared" ca="1" si="3"/>
        <v>46115.806767245369</v>
      </c>
    </row>
    <row r="118" spans="1:11" x14ac:dyDescent="0.3">
      <c r="A118" s="1" t="s">
        <v>73</v>
      </c>
      <c r="B118" s="1" t="s">
        <v>29</v>
      </c>
      <c r="C118" s="1" t="s">
        <v>34</v>
      </c>
      <c r="D118" s="1" t="s">
        <v>12</v>
      </c>
      <c r="E118" s="1">
        <v>1249.0999999999999</v>
      </c>
      <c r="F118" s="1">
        <v>4</v>
      </c>
      <c r="G118" s="2">
        <v>0.05</v>
      </c>
      <c r="H118" s="3">
        <v>45597</v>
      </c>
      <c r="I118" s="1">
        <v>474.66</v>
      </c>
      <c r="J118" s="8" t="str">
        <f t="shared" si="2"/>
        <v>Nov-2024</v>
      </c>
      <c r="K118" s="24">
        <f t="shared" ca="1" si="3"/>
        <v>46115.806767245369</v>
      </c>
    </row>
    <row r="119" spans="1:11" x14ac:dyDescent="0.3">
      <c r="A119" s="1" t="s">
        <v>44</v>
      </c>
      <c r="B119" s="1" t="s">
        <v>23</v>
      </c>
      <c r="C119" s="1" t="s">
        <v>18</v>
      </c>
      <c r="D119" s="1" t="s">
        <v>39</v>
      </c>
      <c r="E119" s="1">
        <v>1014.22</v>
      </c>
      <c r="F119" s="1">
        <v>14</v>
      </c>
      <c r="G119" s="2">
        <v>0.05</v>
      </c>
      <c r="H119" s="3">
        <v>45599</v>
      </c>
      <c r="I119" s="1">
        <v>433.58</v>
      </c>
      <c r="J119" s="8" t="str">
        <f t="shared" si="2"/>
        <v>Nov-2024</v>
      </c>
      <c r="K119" s="24">
        <f t="shared" ca="1" si="3"/>
        <v>46115.806767245369</v>
      </c>
    </row>
    <row r="120" spans="1:11" x14ac:dyDescent="0.3">
      <c r="A120" s="1" t="s">
        <v>54</v>
      </c>
      <c r="B120" s="1" t="s">
        <v>48</v>
      </c>
      <c r="C120" s="1" t="s">
        <v>18</v>
      </c>
      <c r="D120" s="1" t="s">
        <v>12</v>
      </c>
      <c r="E120" s="1">
        <v>1010.58</v>
      </c>
      <c r="F120" s="1">
        <v>2</v>
      </c>
      <c r="G120" s="2">
        <v>0.15</v>
      </c>
      <c r="H120" s="3">
        <v>45605</v>
      </c>
      <c r="I120" s="1">
        <v>343.6</v>
      </c>
      <c r="J120" s="8" t="str">
        <f t="shared" si="2"/>
        <v>Nov-2024</v>
      </c>
      <c r="K120" s="24">
        <f t="shared" ca="1" si="3"/>
        <v>46115.806767245369</v>
      </c>
    </row>
    <row r="121" spans="1:11" x14ac:dyDescent="0.3">
      <c r="A121" s="1" t="s">
        <v>30</v>
      </c>
      <c r="B121" s="1" t="s">
        <v>59</v>
      </c>
      <c r="C121" s="1" t="s">
        <v>24</v>
      </c>
      <c r="D121" s="1" t="s">
        <v>27</v>
      </c>
      <c r="E121" s="1">
        <v>957.29</v>
      </c>
      <c r="F121" s="1">
        <v>4</v>
      </c>
      <c r="G121" s="2">
        <v>0.05</v>
      </c>
      <c r="H121" s="3">
        <v>45605</v>
      </c>
      <c r="I121" s="1">
        <v>318.3</v>
      </c>
      <c r="J121" s="8" t="str">
        <f t="shared" si="2"/>
        <v>Nov-2024</v>
      </c>
      <c r="K121" s="24">
        <f t="shared" ca="1" si="3"/>
        <v>46115.806767245369</v>
      </c>
    </row>
    <row r="122" spans="1:11" x14ac:dyDescent="0.3">
      <c r="A122" s="1" t="s">
        <v>28</v>
      </c>
      <c r="B122" s="1" t="s">
        <v>45</v>
      </c>
      <c r="C122" s="1" t="s">
        <v>24</v>
      </c>
      <c r="D122" s="1" t="s">
        <v>27</v>
      </c>
      <c r="E122" s="1">
        <v>1077.92</v>
      </c>
      <c r="F122" s="1">
        <v>3</v>
      </c>
      <c r="G122" s="2">
        <v>0.05</v>
      </c>
      <c r="H122" s="3">
        <v>45608</v>
      </c>
      <c r="I122" s="1">
        <v>358.41</v>
      </c>
      <c r="J122" s="8" t="str">
        <f t="shared" si="2"/>
        <v>Nov-2024</v>
      </c>
      <c r="K122" s="24">
        <f t="shared" ca="1" si="3"/>
        <v>46115.806767245369</v>
      </c>
    </row>
    <row r="123" spans="1:11" x14ac:dyDescent="0.3">
      <c r="A123" s="1" t="s">
        <v>52</v>
      </c>
      <c r="B123" s="1" t="s">
        <v>50</v>
      </c>
      <c r="C123" s="1" t="s">
        <v>20</v>
      </c>
      <c r="D123" s="1" t="s">
        <v>15</v>
      </c>
      <c r="E123" s="1">
        <v>1163.01</v>
      </c>
      <c r="F123" s="1">
        <v>5</v>
      </c>
      <c r="G123" s="2">
        <v>0</v>
      </c>
      <c r="H123" s="3">
        <v>45611</v>
      </c>
      <c r="I123" s="1">
        <v>581.5</v>
      </c>
      <c r="J123" s="8" t="str">
        <f t="shared" si="2"/>
        <v>Nov-2024</v>
      </c>
      <c r="K123" s="24">
        <f t="shared" ca="1" si="3"/>
        <v>46115.806767245369</v>
      </c>
    </row>
    <row r="124" spans="1:11" x14ac:dyDescent="0.3">
      <c r="A124" s="1" t="s">
        <v>54</v>
      </c>
      <c r="B124" s="1" t="s">
        <v>45</v>
      </c>
      <c r="C124" s="1" t="s">
        <v>18</v>
      </c>
      <c r="D124" s="1" t="s">
        <v>39</v>
      </c>
      <c r="E124" s="1">
        <v>1014.56</v>
      </c>
      <c r="F124" s="1">
        <v>10</v>
      </c>
      <c r="G124" s="2">
        <v>0.1</v>
      </c>
      <c r="H124" s="3">
        <v>45612</v>
      </c>
      <c r="I124" s="1">
        <v>410.9</v>
      </c>
      <c r="J124" s="8" t="str">
        <f t="shared" si="2"/>
        <v>Nov-2024</v>
      </c>
      <c r="K124" s="24">
        <f t="shared" ca="1" si="3"/>
        <v>46115.806767245369</v>
      </c>
    </row>
    <row r="125" spans="1:11" x14ac:dyDescent="0.3">
      <c r="A125" s="1" t="s">
        <v>9</v>
      </c>
      <c r="B125" s="1" t="s">
        <v>17</v>
      </c>
      <c r="C125" s="1" t="s">
        <v>20</v>
      </c>
      <c r="D125" s="1" t="s">
        <v>21</v>
      </c>
      <c r="E125" s="1">
        <v>718.04</v>
      </c>
      <c r="F125" s="1">
        <v>14</v>
      </c>
      <c r="G125" s="2">
        <v>0</v>
      </c>
      <c r="H125" s="3">
        <v>45613</v>
      </c>
      <c r="I125" s="1">
        <v>179.51</v>
      </c>
      <c r="J125" s="8" t="str">
        <f t="shared" si="2"/>
        <v>Nov-2024</v>
      </c>
      <c r="K125" s="24">
        <f t="shared" ca="1" si="3"/>
        <v>46115.806767245369</v>
      </c>
    </row>
    <row r="126" spans="1:11" x14ac:dyDescent="0.3">
      <c r="A126" s="1" t="s">
        <v>72</v>
      </c>
      <c r="B126" s="1" t="s">
        <v>17</v>
      </c>
      <c r="C126" s="1" t="s">
        <v>34</v>
      </c>
      <c r="D126" s="1" t="s">
        <v>15</v>
      </c>
      <c r="E126" s="1">
        <v>1277.8499999999999</v>
      </c>
      <c r="F126" s="1">
        <v>18</v>
      </c>
      <c r="G126" s="2">
        <v>0.2</v>
      </c>
      <c r="H126" s="3">
        <v>45613</v>
      </c>
      <c r="I126" s="1">
        <v>511.14</v>
      </c>
      <c r="J126" s="8" t="str">
        <f t="shared" si="2"/>
        <v>Nov-2024</v>
      </c>
      <c r="K126" s="24">
        <f t="shared" ca="1" si="3"/>
        <v>46115.806767245369</v>
      </c>
    </row>
    <row r="127" spans="1:11" x14ac:dyDescent="0.3">
      <c r="A127" s="1" t="s">
        <v>70</v>
      </c>
      <c r="B127" s="1" t="s">
        <v>23</v>
      </c>
      <c r="C127" s="1" t="s">
        <v>24</v>
      </c>
      <c r="D127" s="1" t="s">
        <v>21</v>
      </c>
      <c r="E127" s="1">
        <v>706.73</v>
      </c>
      <c r="F127" s="1">
        <v>1</v>
      </c>
      <c r="G127" s="2">
        <v>0.15</v>
      </c>
      <c r="H127" s="3">
        <v>45613</v>
      </c>
      <c r="I127" s="1">
        <v>150.18</v>
      </c>
      <c r="J127" s="8" t="str">
        <f t="shared" si="2"/>
        <v>Nov-2024</v>
      </c>
      <c r="K127" s="24">
        <f t="shared" ca="1" si="3"/>
        <v>46115.806767245369</v>
      </c>
    </row>
    <row r="128" spans="1:11" x14ac:dyDescent="0.3">
      <c r="A128" s="1" t="s">
        <v>65</v>
      </c>
      <c r="B128" s="1" t="s">
        <v>50</v>
      </c>
      <c r="C128" s="1" t="s">
        <v>18</v>
      </c>
      <c r="D128" s="1" t="s">
        <v>21</v>
      </c>
      <c r="E128" s="1">
        <v>1410.59</v>
      </c>
      <c r="F128" s="1">
        <v>15</v>
      </c>
      <c r="G128" s="2">
        <v>0</v>
      </c>
      <c r="H128" s="3">
        <v>45615</v>
      </c>
      <c r="I128" s="1">
        <v>352.65</v>
      </c>
      <c r="J128" s="8" t="str">
        <f t="shared" si="2"/>
        <v>Nov-2024</v>
      </c>
      <c r="K128" s="24">
        <f t="shared" ca="1" si="3"/>
        <v>46115.806767245369</v>
      </c>
    </row>
    <row r="129" spans="1:11" x14ac:dyDescent="0.3">
      <c r="A129" s="1" t="s">
        <v>32</v>
      </c>
      <c r="B129" s="1" t="s">
        <v>61</v>
      </c>
      <c r="C129" s="1" t="s">
        <v>20</v>
      </c>
      <c r="D129" s="1" t="s">
        <v>27</v>
      </c>
      <c r="E129" s="1">
        <v>1350.33</v>
      </c>
      <c r="F129" s="1">
        <v>10</v>
      </c>
      <c r="G129" s="2">
        <v>0</v>
      </c>
      <c r="H129" s="3">
        <v>45615</v>
      </c>
      <c r="I129" s="1">
        <v>472.62</v>
      </c>
      <c r="J129" s="8" t="str">
        <f t="shared" si="2"/>
        <v>Nov-2024</v>
      </c>
      <c r="K129" s="24">
        <f t="shared" ca="1" si="3"/>
        <v>46115.806767245369</v>
      </c>
    </row>
    <row r="130" spans="1:11" x14ac:dyDescent="0.3">
      <c r="A130" s="1" t="s">
        <v>41</v>
      </c>
      <c r="B130" s="1" t="s">
        <v>45</v>
      </c>
      <c r="C130" s="1" t="s">
        <v>18</v>
      </c>
      <c r="D130" s="1" t="s">
        <v>21</v>
      </c>
      <c r="E130" s="1">
        <v>919.18</v>
      </c>
      <c r="F130" s="1">
        <v>4</v>
      </c>
      <c r="G130" s="2">
        <v>0.15</v>
      </c>
      <c r="H130" s="3">
        <v>45615</v>
      </c>
      <c r="I130" s="1">
        <v>195.33</v>
      </c>
      <c r="J130" s="8" t="str">
        <f t="shared" si="2"/>
        <v>Nov-2024</v>
      </c>
      <c r="K130" s="24">
        <f t="shared" ca="1" si="3"/>
        <v>46115.806767245369</v>
      </c>
    </row>
    <row r="131" spans="1:11" x14ac:dyDescent="0.3">
      <c r="A131" s="1" t="s">
        <v>74</v>
      </c>
      <c r="B131" s="1" t="s">
        <v>23</v>
      </c>
      <c r="C131" s="1" t="s">
        <v>11</v>
      </c>
      <c r="D131" s="1" t="s">
        <v>21</v>
      </c>
      <c r="E131" s="1">
        <v>258.51</v>
      </c>
      <c r="F131" s="1">
        <v>19</v>
      </c>
      <c r="G131" s="2">
        <v>0</v>
      </c>
      <c r="H131" s="3">
        <v>45616</v>
      </c>
      <c r="I131" s="1">
        <v>64.63</v>
      </c>
      <c r="J131" s="8" t="str">
        <f t="shared" ref="J131:J194" si="4">TEXT(H131,"mmm-yyy")</f>
        <v>Nov-2024</v>
      </c>
      <c r="K131" s="24">
        <f t="shared" ref="K131:K194" ca="1" si="5">NOW()</f>
        <v>46115.806767245369</v>
      </c>
    </row>
    <row r="132" spans="1:11" x14ac:dyDescent="0.3">
      <c r="A132" s="1" t="s">
        <v>63</v>
      </c>
      <c r="B132" s="1" t="s">
        <v>61</v>
      </c>
      <c r="C132" s="1" t="s">
        <v>18</v>
      </c>
      <c r="D132" s="1" t="s">
        <v>12</v>
      </c>
      <c r="E132" s="1">
        <v>1213.48</v>
      </c>
      <c r="F132" s="1">
        <v>5</v>
      </c>
      <c r="G132" s="2">
        <v>0.05</v>
      </c>
      <c r="H132" s="3">
        <v>45616</v>
      </c>
      <c r="I132" s="1">
        <v>461.12</v>
      </c>
      <c r="J132" s="8" t="str">
        <f t="shared" si="4"/>
        <v>Nov-2024</v>
      </c>
      <c r="K132" s="24">
        <f t="shared" ca="1" si="5"/>
        <v>46115.806767245369</v>
      </c>
    </row>
    <row r="133" spans="1:11" x14ac:dyDescent="0.3">
      <c r="A133" s="1" t="s">
        <v>57</v>
      </c>
      <c r="B133" s="1" t="s">
        <v>38</v>
      </c>
      <c r="C133" s="1" t="s">
        <v>34</v>
      </c>
      <c r="D133" s="1" t="s">
        <v>12</v>
      </c>
      <c r="E133" s="1">
        <v>1150.28</v>
      </c>
      <c r="F133" s="1">
        <v>8</v>
      </c>
      <c r="G133" s="2">
        <v>0.05</v>
      </c>
      <c r="H133" s="3">
        <v>45622</v>
      </c>
      <c r="I133" s="1">
        <v>437.11</v>
      </c>
      <c r="J133" s="8" t="str">
        <f t="shared" si="4"/>
        <v>Nov-2024</v>
      </c>
      <c r="K133" s="24">
        <f t="shared" ca="1" si="5"/>
        <v>46115.806767245369</v>
      </c>
    </row>
    <row r="134" spans="1:11" x14ac:dyDescent="0.3">
      <c r="A134" s="1" t="s">
        <v>37</v>
      </c>
      <c r="B134" s="1" t="s">
        <v>71</v>
      </c>
      <c r="C134" s="1" t="s">
        <v>20</v>
      </c>
      <c r="D134" s="1" t="s">
        <v>27</v>
      </c>
      <c r="E134" s="1">
        <v>853.86</v>
      </c>
      <c r="F134" s="1">
        <v>8</v>
      </c>
      <c r="G134" s="2">
        <v>0.1</v>
      </c>
      <c r="H134" s="3">
        <v>45622</v>
      </c>
      <c r="I134" s="1">
        <v>268.97000000000003</v>
      </c>
      <c r="J134" s="8" t="str">
        <f t="shared" si="4"/>
        <v>Nov-2024</v>
      </c>
      <c r="K134" s="24">
        <f t="shared" ca="1" si="5"/>
        <v>46115.806767245369</v>
      </c>
    </row>
    <row r="135" spans="1:11" x14ac:dyDescent="0.3">
      <c r="A135" s="1" t="s">
        <v>75</v>
      </c>
      <c r="B135" s="1" t="s">
        <v>45</v>
      </c>
      <c r="C135" s="1" t="s">
        <v>20</v>
      </c>
      <c r="D135" s="1" t="s">
        <v>21</v>
      </c>
      <c r="E135" s="1">
        <v>1061.04</v>
      </c>
      <c r="F135" s="1">
        <v>1</v>
      </c>
      <c r="G135" s="2">
        <v>0</v>
      </c>
      <c r="H135" s="3">
        <v>45624</v>
      </c>
      <c r="I135" s="1">
        <v>265.26</v>
      </c>
      <c r="J135" s="8" t="str">
        <f t="shared" si="4"/>
        <v>Nov-2024</v>
      </c>
      <c r="K135" s="24">
        <f t="shared" ca="1" si="5"/>
        <v>46115.806767245369</v>
      </c>
    </row>
    <row r="136" spans="1:11" x14ac:dyDescent="0.3">
      <c r="A136" s="1" t="s">
        <v>28</v>
      </c>
      <c r="B136" s="1" t="s">
        <v>43</v>
      </c>
      <c r="C136" s="1" t="s">
        <v>11</v>
      </c>
      <c r="D136" s="1" t="s">
        <v>21</v>
      </c>
      <c r="E136" s="1">
        <v>894.55</v>
      </c>
      <c r="F136" s="1">
        <v>19</v>
      </c>
      <c r="G136" s="2">
        <v>0.2</v>
      </c>
      <c r="H136" s="3">
        <v>45625</v>
      </c>
      <c r="I136" s="1">
        <v>178.91</v>
      </c>
      <c r="J136" s="8" t="str">
        <f t="shared" si="4"/>
        <v>Nov-2024</v>
      </c>
      <c r="K136" s="24">
        <f t="shared" ca="1" si="5"/>
        <v>46115.806767245369</v>
      </c>
    </row>
    <row r="137" spans="1:11" x14ac:dyDescent="0.3">
      <c r="A137" s="1" t="s">
        <v>25</v>
      </c>
      <c r="B137" s="1" t="s">
        <v>38</v>
      </c>
      <c r="C137" s="1" t="s">
        <v>24</v>
      </c>
      <c r="D137" s="1" t="s">
        <v>39</v>
      </c>
      <c r="E137" s="1">
        <v>833.91</v>
      </c>
      <c r="F137" s="1">
        <v>3</v>
      </c>
      <c r="G137" s="2">
        <v>0.05</v>
      </c>
      <c r="H137" s="3">
        <v>45626</v>
      </c>
      <c r="I137" s="1">
        <v>356.5</v>
      </c>
      <c r="J137" s="8" t="str">
        <f t="shared" si="4"/>
        <v>Nov-2024</v>
      </c>
      <c r="K137" s="24">
        <f t="shared" ca="1" si="5"/>
        <v>46115.806767245369</v>
      </c>
    </row>
    <row r="138" spans="1:11" x14ac:dyDescent="0.3">
      <c r="A138" s="1" t="s">
        <v>58</v>
      </c>
      <c r="B138" s="1" t="s">
        <v>71</v>
      </c>
      <c r="C138" s="1" t="s">
        <v>11</v>
      </c>
      <c r="D138" s="1" t="s">
        <v>27</v>
      </c>
      <c r="E138" s="1">
        <v>820.19</v>
      </c>
      <c r="F138" s="1">
        <v>4</v>
      </c>
      <c r="G138" s="2">
        <v>0.2</v>
      </c>
      <c r="H138" s="3">
        <v>45630</v>
      </c>
      <c r="I138" s="1">
        <v>229.65</v>
      </c>
      <c r="J138" s="8" t="str">
        <f t="shared" si="4"/>
        <v>Dec-2024</v>
      </c>
      <c r="K138" s="24">
        <f t="shared" ca="1" si="5"/>
        <v>46115.806767245369</v>
      </c>
    </row>
    <row r="139" spans="1:11" x14ac:dyDescent="0.3">
      <c r="A139" s="1" t="s">
        <v>58</v>
      </c>
      <c r="B139" s="1" t="s">
        <v>38</v>
      </c>
      <c r="C139" s="1" t="s">
        <v>34</v>
      </c>
      <c r="D139" s="1" t="s">
        <v>21</v>
      </c>
      <c r="E139" s="1">
        <v>511.74</v>
      </c>
      <c r="F139" s="1">
        <v>8</v>
      </c>
      <c r="G139" s="2">
        <v>0.05</v>
      </c>
      <c r="H139" s="3">
        <v>45631</v>
      </c>
      <c r="I139" s="1">
        <v>121.54</v>
      </c>
      <c r="J139" s="8" t="str">
        <f t="shared" si="4"/>
        <v>Dec-2024</v>
      </c>
      <c r="K139" s="24">
        <f t="shared" ca="1" si="5"/>
        <v>46115.806767245369</v>
      </c>
    </row>
    <row r="140" spans="1:11" x14ac:dyDescent="0.3">
      <c r="A140" s="1" t="s">
        <v>65</v>
      </c>
      <c r="B140" s="1" t="s">
        <v>61</v>
      </c>
      <c r="C140" s="1" t="s">
        <v>20</v>
      </c>
      <c r="D140" s="1" t="s">
        <v>27</v>
      </c>
      <c r="E140" s="1">
        <v>806.03</v>
      </c>
      <c r="F140" s="1">
        <v>19</v>
      </c>
      <c r="G140" s="2">
        <v>0.05</v>
      </c>
      <c r="H140" s="3">
        <v>45638</v>
      </c>
      <c r="I140" s="1">
        <v>268</v>
      </c>
      <c r="J140" s="8" t="str">
        <f t="shared" si="4"/>
        <v>Dec-2024</v>
      </c>
      <c r="K140" s="24">
        <f t="shared" ca="1" si="5"/>
        <v>46115.806767245369</v>
      </c>
    </row>
    <row r="141" spans="1:11" x14ac:dyDescent="0.3">
      <c r="A141" s="1" t="s">
        <v>28</v>
      </c>
      <c r="B141" s="1" t="s">
        <v>26</v>
      </c>
      <c r="C141" s="1" t="s">
        <v>34</v>
      </c>
      <c r="D141" s="1" t="s">
        <v>27</v>
      </c>
      <c r="E141" s="1">
        <v>1432.47</v>
      </c>
      <c r="F141" s="1">
        <v>16</v>
      </c>
      <c r="G141" s="2">
        <v>0.15</v>
      </c>
      <c r="H141" s="3">
        <v>45640</v>
      </c>
      <c r="I141" s="1">
        <v>426.16</v>
      </c>
      <c r="J141" s="8" t="str">
        <f t="shared" si="4"/>
        <v>Dec-2024</v>
      </c>
      <c r="K141" s="24">
        <f t="shared" ca="1" si="5"/>
        <v>46115.806767245369</v>
      </c>
    </row>
    <row r="142" spans="1:11" x14ac:dyDescent="0.3">
      <c r="A142" s="1" t="s">
        <v>74</v>
      </c>
      <c r="B142" s="1" t="s">
        <v>29</v>
      </c>
      <c r="C142" s="1" t="s">
        <v>34</v>
      </c>
      <c r="D142" s="1" t="s">
        <v>21</v>
      </c>
      <c r="E142" s="1">
        <v>1488.58</v>
      </c>
      <c r="F142" s="1">
        <v>10</v>
      </c>
      <c r="G142" s="2">
        <v>0.15</v>
      </c>
      <c r="H142" s="3">
        <v>45640</v>
      </c>
      <c r="I142" s="1">
        <v>316.32</v>
      </c>
      <c r="J142" s="8" t="str">
        <f t="shared" si="4"/>
        <v>Dec-2024</v>
      </c>
      <c r="K142" s="24">
        <f t="shared" ca="1" si="5"/>
        <v>46115.806767245369</v>
      </c>
    </row>
    <row r="143" spans="1:11" x14ac:dyDescent="0.3">
      <c r="A143" s="1" t="s">
        <v>30</v>
      </c>
      <c r="B143" s="1" t="s">
        <v>66</v>
      </c>
      <c r="C143" s="1" t="s">
        <v>18</v>
      </c>
      <c r="D143" s="1" t="s">
        <v>12</v>
      </c>
      <c r="E143" s="1">
        <v>1231.26</v>
      </c>
      <c r="F143" s="1">
        <v>9</v>
      </c>
      <c r="G143" s="2">
        <v>0</v>
      </c>
      <c r="H143" s="3">
        <v>45646</v>
      </c>
      <c r="I143" s="1">
        <v>492.5</v>
      </c>
      <c r="J143" s="8" t="str">
        <f t="shared" si="4"/>
        <v>Dec-2024</v>
      </c>
      <c r="K143" s="24">
        <f t="shared" ca="1" si="5"/>
        <v>46115.806767245369</v>
      </c>
    </row>
    <row r="144" spans="1:11" x14ac:dyDescent="0.3">
      <c r="A144" s="1" t="s">
        <v>30</v>
      </c>
      <c r="B144" s="1" t="s">
        <v>43</v>
      </c>
      <c r="C144" s="1" t="s">
        <v>11</v>
      </c>
      <c r="D144" s="1" t="s">
        <v>21</v>
      </c>
      <c r="E144" s="1">
        <v>1161.67</v>
      </c>
      <c r="F144" s="1">
        <v>19</v>
      </c>
      <c r="G144" s="2">
        <v>0.2</v>
      </c>
      <c r="H144" s="3">
        <v>45647</v>
      </c>
      <c r="I144" s="1">
        <v>232.33</v>
      </c>
      <c r="J144" s="8" t="str">
        <f t="shared" si="4"/>
        <v>Dec-2024</v>
      </c>
      <c r="K144" s="24">
        <f t="shared" ca="1" si="5"/>
        <v>46115.806767245369</v>
      </c>
    </row>
    <row r="145" spans="1:11" x14ac:dyDescent="0.3">
      <c r="A145" s="1" t="s">
        <v>49</v>
      </c>
      <c r="B145" s="1" t="s">
        <v>45</v>
      </c>
      <c r="C145" s="1" t="s">
        <v>34</v>
      </c>
      <c r="D145" s="1" t="s">
        <v>39</v>
      </c>
      <c r="E145" s="1">
        <v>388.23</v>
      </c>
      <c r="F145" s="1">
        <v>16</v>
      </c>
      <c r="G145" s="2">
        <v>0.05</v>
      </c>
      <c r="H145" s="3">
        <v>45650</v>
      </c>
      <c r="I145" s="1">
        <v>165.97</v>
      </c>
      <c r="J145" s="8" t="str">
        <f t="shared" si="4"/>
        <v>Dec-2024</v>
      </c>
      <c r="K145" s="24">
        <f t="shared" ca="1" si="5"/>
        <v>46115.806767245369</v>
      </c>
    </row>
    <row r="146" spans="1:11" x14ac:dyDescent="0.3">
      <c r="A146" s="1" t="s">
        <v>72</v>
      </c>
      <c r="B146" s="1" t="s">
        <v>31</v>
      </c>
      <c r="C146" s="1" t="s">
        <v>24</v>
      </c>
      <c r="D146" s="1" t="s">
        <v>15</v>
      </c>
      <c r="E146" s="1">
        <v>1589.42</v>
      </c>
      <c r="F146" s="1">
        <v>6</v>
      </c>
      <c r="G146" s="2">
        <v>0.15</v>
      </c>
      <c r="H146" s="3">
        <v>45651</v>
      </c>
      <c r="I146" s="1">
        <v>675.5</v>
      </c>
      <c r="J146" s="8" t="str">
        <f t="shared" si="4"/>
        <v>Dec-2024</v>
      </c>
      <c r="K146" s="24">
        <f t="shared" ca="1" si="5"/>
        <v>46115.806767245369</v>
      </c>
    </row>
    <row r="147" spans="1:11" x14ac:dyDescent="0.3">
      <c r="A147" s="1" t="s">
        <v>28</v>
      </c>
      <c r="B147" s="1" t="s">
        <v>71</v>
      </c>
      <c r="C147" s="1" t="s">
        <v>24</v>
      </c>
      <c r="D147" s="1" t="s">
        <v>15</v>
      </c>
      <c r="E147" s="1">
        <v>336.66</v>
      </c>
      <c r="F147" s="1">
        <v>13</v>
      </c>
      <c r="G147" s="2">
        <v>0.2</v>
      </c>
      <c r="H147" s="3">
        <v>45651</v>
      </c>
      <c r="I147" s="1">
        <v>134.66</v>
      </c>
      <c r="J147" s="8" t="str">
        <f t="shared" si="4"/>
        <v>Dec-2024</v>
      </c>
      <c r="K147" s="24">
        <f t="shared" ca="1" si="5"/>
        <v>46115.806767245369</v>
      </c>
    </row>
    <row r="148" spans="1:11" x14ac:dyDescent="0.3">
      <c r="A148" s="1" t="s">
        <v>49</v>
      </c>
      <c r="B148" s="1" t="s">
        <v>23</v>
      </c>
      <c r="C148" s="1" t="s">
        <v>11</v>
      </c>
      <c r="D148" s="1" t="s">
        <v>12</v>
      </c>
      <c r="E148" s="1">
        <v>1353.79</v>
      </c>
      <c r="F148" s="1">
        <v>14</v>
      </c>
      <c r="G148" s="2">
        <v>0.1</v>
      </c>
      <c r="H148" s="3">
        <v>45656</v>
      </c>
      <c r="I148" s="1">
        <v>487.36</v>
      </c>
      <c r="J148" s="8" t="str">
        <f t="shared" si="4"/>
        <v>Dec-2024</v>
      </c>
      <c r="K148" s="24">
        <f t="shared" ca="1" si="5"/>
        <v>46115.806767245369</v>
      </c>
    </row>
    <row r="149" spans="1:11" x14ac:dyDescent="0.3">
      <c r="A149" s="1" t="s">
        <v>63</v>
      </c>
      <c r="B149" s="1" t="s">
        <v>69</v>
      </c>
      <c r="C149" s="1" t="s">
        <v>34</v>
      </c>
      <c r="D149" s="1" t="s">
        <v>15</v>
      </c>
      <c r="E149" s="1">
        <v>662.61</v>
      </c>
      <c r="F149" s="1">
        <v>11</v>
      </c>
      <c r="G149" s="2">
        <v>0.05</v>
      </c>
      <c r="H149" s="3">
        <v>45658</v>
      </c>
      <c r="I149" s="1">
        <v>314.74</v>
      </c>
      <c r="J149" s="8" t="str">
        <f t="shared" si="4"/>
        <v>Jan-2025</v>
      </c>
      <c r="K149" s="24">
        <f t="shared" ca="1" si="5"/>
        <v>46115.806767245369</v>
      </c>
    </row>
    <row r="150" spans="1:11" x14ac:dyDescent="0.3">
      <c r="A150" s="1" t="s">
        <v>52</v>
      </c>
      <c r="B150" s="1" t="s">
        <v>48</v>
      </c>
      <c r="C150" s="1" t="s">
        <v>24</v>
      </c>
      <c r="D150" s="1" t="s">
        <v>39</v>
      </c>
      <c r="E150" s="1">
        <v>309.42</v>
      </c>
      <c r="F150" s="1">
        <v>1</v>
      </c>
      <c r="G150" s="2">
        <v>0.2</v>
      </c>
      <c r="H150" s="3">
        <v>45658</v>
      </c>
      <c r="I150" s="1">
        <v>111.39</v>
      </c>
      <c r="J150" s="8" t="str">
        <f t="shared" si="4"/>
        <v>Jan-2025</v>
      </c>
      <c r="K150" s="24">
        <f t="shared" ca="1" si="5"/>
        <v>46115.806767245369</v>
      </c>
    </row>
    <row r="151" spans="1:11" x14ac:dyDescent="0.3">
      <c r="A151" s="1" t="s">
        <v>63</v>
      </c>
      <c r="B151" s="1" t="s">
        <v>29</v>
      </c>
      <c r="C151" s="1" t="s">
        <v>24</v>
      </c>
      <c r="D151" s="1" t="s">
        <v>12</v>
      </c>
      <c r="E151" s="1">
        <v>884.63</v>
      </c>
      <c r="F151" s="1">
        <v>18</v>
      </c>
      <c r="G151" s="2">
        <v>0.1</v>
      </c>
      <c r="H151" s="3">
        <v>45659</v>
      </c>
      <c r="I151" s="1">
        <v>318.47000000000003</v>
      </c>
      <c r="J151" s="8" t="str">
        <f t="shared" si="4"/>
        <v>Jan-2025</v>
      </c>
      <c r="K151" s="24">
        <f t="shared" ca="1" si="5"/>
        <v>46115.806767245369</v>
      </c>
    </row>
    <row r="152" spans="1:11" x14ac:dyDescent="0.3">
      <c r="A152" s="1" t="s">
        <v>52</v>
      </c>
      <c r="B152" s="1" t="s">
        <v>23</v>
      </c>
      <c r="C152" s="1" t="s">
        <v>34</v>
      </c>
      <c r="D152" s="1" t="s">
        <v>39</v>
      </c>
      <c r="E152" s="1">
        <v>745.05</v>
      </c>
      <c r="F152" s="1">
        <v>10</v>
      </c>
      <c r="G152" s="2">
        <v>0.1</v>
      </c>
      <c r="H152" s="3">
        <v>45660</v>
      </c>
      <c r="I152" s="1">
        <v>301.75</v>
      </c>
      <c r="J152" s="8" t="str">
        <f t="shared" si="4"/>
        <v>Jan-2025</v>
      </c>
      <c r="K152" s="24">
        <f t="shared" ca="1" si="5"/>
        <v>46115.806767245369</v>
      </c>
    </row>
    <row r="153" spans="1:11" x14ac:dyDescent="0.3">
      <c r="A153" s="1" t="s">
        <v>60</v>
      </c>
      <c r="B153" s="1" t="s">
        <v>17</v>
      </c>
      <c r="C153" s="1" t="s">
        <v>20</v>
      </c>
      <c r="D153" s="1" t="s">
        <v>15</v>
      </c>
      <c r="E153" s="1">
        <v>870.23</v>
      </c>
      <c r="F153" s="1">
        <v>5</v>
      </c>
      <c r="G153" s="2">
        <v>0.05</v>
      </c>
      <c r="H153" s="3">
        <v>45660</v>
      </c>
      <c r="I153" s="1">
        <v>413.36</v>
      </c>
      <c r="J153" s="8" t="str">
        <f t="shared" si="4"/>
        <v>Jan-2025</v>
      </c>
      <c r="K153" s="24">
        <f t="shared" ca="1" si="5"/>
        <v>46115.806767245369</v>
      </c>
    </row>
    <row r="154" spans="1:11" x14ac:dyDescent="0.3">
      <c r="A154" s="1" t="s">
        <v>35</v>
      </c>
      <c r="B154" s="1" t="s">
        <v>29</v>
      </c>
      <c r="C154" s="1" t="s">
        <v>11</v>
      </c>
      <c r="D154" s="1" t="s">
        <v>27</v>
      </c>
      <c r="E154" s="1">
        <v>862.19</v>
      </c>
      <c r="F154" s="1">
        <v>18</v>
      </c>
      <c r="G154" s="2">
        <v>0.05</v>
      </c>
      <c r="H154" s="3">
        <v>45663</v>
      </c>
      <c r="I154" s="1">
        <v>286.68</v>
      </c>
      <c r="J154" s="8" t="str">
        <f t="shared" si="4"/>
        <v>Jan-2025</v>
      </c>
      <c r="K154" s="24">
        <f t="shared" ca="1" si="5"/>
        <v>46115.806767245369</v>
      </c>
    </row>
    <row r="155" spans="1:11" x14ac:dyDescent="0.3">
      <c r="A155" s="1" t="s">
        <v>73</v>
      </c>
      <c r="B155" s="1" t="s">
        <v>59</v>
      </c>
      <c r="C155" s="1" t="s">
        <v>24</v>
      </c>
      <c r="D155" s="1" t="s">
        <v>15</v>
      </c>
      <c r="E155" s="1">
        <v>1171.18</v>
      </c>
      <c r="F155" s="1">
        <v>19</v>
      </c>
      <c r="G155" s="2">
        <v>0.05</v>
      </c>
      <c r="H155" s="3">
        <v>45667</v>
      </c>
      <c r="I155" s="1">
        <v>556.30999999999995</v>
      </c>
      <c r="J155" s="8" t="str">
        <f t="shared" si="4"/>
        <v>Jan-2025</v>
      </c>
      <c r="K155" s="24">
        <f t="shared" ca="1" si="5"/>
        <v>46115.806767245369</v>
      </c>
    </row>
    <row r="156" spans="1:11" x14ac:dyDescent="0.3">
      <c r="A156" s="1" t="s">
        <v>58</v>
      </c>
      <c r="B156" s="1" t="s">
        <v>14</v>
      </c>
      <c r="C156" s="1" t="s">
        <v>20</v>
      </c>
      <c r="D156" s="1" t="s">
        <v>27</v>
      </c>
      <c r="E156" s="1">
        <v>1054.56</v>
      </c>
      <c r="F156" s="1">
        <v>11</v>
      </c>
      <c r="G156" s="2">
        <v>0.1</v>
      </c>
      <c r="H156" s="3">
        <v>45669</v>
      </c>
      <c r="I156" s="1">
        <v>332.19</v>
      </c>
      <c r="J156" s="8" t="str">
        <f t="shared" si="4"/>
        <v>Jan-2025</v>
      </c>
      <c r="K156" s="24">
        <f t="shared" ca="1" si="5"/>
        <v>46115.806767245369</v>
      </c>
    </row>
    <row r="157" spans="1:11" x14ac:dyDescent="0.3">
      <c r="A157" s="1" t="s">
        <v>58</v>
      </c>
      <c r="B157" s="1" t="s">
        <v>23</v>
      </c>
      <c r="C157" s="1" t="s">
        <v>24</v>
      </c>
      <c r="D157" s="1" t="s">
        <v>21</v>
      </c>
      <c r="E157" s="1">
        <v>1681.21</v>
      </c>
      <c r="F157" s="1">
        <v>5</v>
      </c>
      <c r="G157" s="2">
        <v>0.2</v>
      </c>
      <c r="H157" s="3">
        <v>45670</v>
      </c>
      <c r="I157" s="1">
        <v>336.24</v>
      </c>
      <c r="J157" s="8" t="str">
        <f t="shared" si="4"/>
        <v>Jan-2025</v>
      </c>
      <c r="K157" s="24">
        <f t="shared" ca="1" si="5"/>
        <v>46115.806767245369</v>
      </c>
    </row>
    <row r="158" spans="1:11" x14ac:dyDescent="0.3">
      <c r="A158" s="1" t="s">
        <v>58</v>
      </c>
      <c r="B158" s="1" t="s">
        <v>36</v>
      </c>
      <c r="C158" s="1" t="s">
        <v>11</v>
      </c>
      <c r="D158" s="1" t="s">
        <v>15</v>
      </c>
      <c r="E158" s="1">
        <v>379.77</v>
      </c>
      <c r="F158" s="1">
        <v>9</v>
      </c>
      <c r="G158" s="2">
        <v>0.05</v>
      </c>
      <c r="H158" s="3">
        <v>45673</v>
      </c>
      <c r="I158" s="1">
        <v>180.39</v>
      </c>
      <c r="J158" s="8" t="str">
        <f t="shared" si="4"/>
        <v>Jan-2025</v>
      </c>
      <c r="K158" s="24">
        <f t="shared" ca="1" si="5"/>
        <v>46115.806767245369</v>
      </c>
    </row>
    <row r="159" spans="1:11" x14ac:dyDescent="0.3">
      <c r="A159" s="1" t="s">
        <v>44</v>
      </c>
      <c r="B159" s="1" t="s">
        <v>45</v>
      </c>
      <c r="C159" s="1" t="s">
        <v>34</v>
      </c>
      <c r="D159" s="1" t="s">
        <v>15</v>
      </c>
      <c r="E159" s="1">
        <v>1076.33</v>
      </c>
      <c r="F159" s="1">
        <v>2</v>
      </c>
      <c r="G159" s="2">
        <v>0.1</v>
      </c>
      <c r="H159" s="3">
        <v>45674</v>
      </c>
      <c r="I159" s="1">
        <v>484.35</v>
      </c>
      <c r="J159" s="8" t="str">
        <f t="shared" si="4"/>
        <v>Jan-2025</v>
      </c>
      <c r="K159" s="24">
        <f t="shared" ca="1" si="5"/>
        <v>46115.806767245369</v>
      </c>
    </row>
    <row r="160" spans="1:11" x14ac:dyDescent="0.3">
      <c r="A160" s="1" t="s">
        <v>44</v>
      </c>
      <c r="B160" s="1" t="s">
        <v>31</v>
      </c>
      <c r="C160" s="1" t="s">
        <v>34</v>
      </c>
      <c r="D160" s="1" t="s">
        <v>39</v>
      </c>
      <c r="E160" s="1">
        <v>1250.71</v>
      </c>
      <c r="F160" s="1">
        <v>7</v>
      </c>
      <c r="G160" s="2">
        <v>0</v>
      </c>
      <c r="H160" s="3">
        <v>45674</v>
      </c>
      <c r="I160" s="1">
        <v>562.82000000000005</v>
      </c>
      <c r="J160" s="8" t="str">
        <f t="shared" si="4"/>
        <v>Jan-2025</v>
      </c>
      <c r="K160" s="24">
        <f t="shared" ca="1" si="5"/>
        <v>46115.806767245369</v>
      </c>
    </row>
    <row r="161" spans="1:11" x14ac:dyDescent="0.3">
      <c r="A161" s="1" t="s">
        <v>40</v>
      </c>
      <c r="B161" s="1" t="s">
        <v>17</v>
      </c>
      <c r="C161" s="1" t="s">
        <v>20</v>
      </c>
      <c r="D161" s="1" t="s">
        <v>15</v>
      </c>
      <c r="E161" s="1">
        <v>1118.3399999999999</v>
      </c>
      <c r="F161" s="1">
        <v>6</v>
      </c>
      <c r="G161" s="2">
        <v>0.2</v>
      </c>
      <c r="H161" s="3">
        <v>45674</v>
      </c>
      <c r="I161" s="1">
        <v>447.34</v>
      </c>
      <c r="J161" s="8" t="str">
        <f t="shared" si="4"/>
        <v>Jan-2025</v>
      </c>
      <c r="K161" s="24">
        <f t="shared" ca="1" si="5"/>
        <v>46115.806767245369</v>
      </c>
    </row>
    <row r="162" spans="1:11" x14ac:dyDescent="0.3">
      <c r="A162" s="1" t="s">
        <v>70</v>
      </c>
      <c r="B162" s="1" t="s">
        <v>53</v>
      </c>
      <c r="C162" s="1" t="s">
        <v>24</v>
      </c>
      <c r="D162" s="1" t="s">
        <v>15</v>
      </c>
      <c r="E162" s="1">
        <v>1622.62</v>
      </c>
      <c r="F162" s="1">
        <v>12</v>
      </c>
      <c r="G162" s="2">
        <v>0.2</v>
      </c>
      <c r="H162" s="3">
        <v>45677</v>
      </c>
      <c r="I162" s="1">
        <v>649.04999999999995</v>
      </c>
      <c r="J162" s="8" t="str">
        <f t="shared" si="4"/>
        <v>Jan-2025</v>
      </c>
      <c r="K162" s="24">
        <f t="shared" ca="1" si="5"/>
        <v>46115.806767245369</v>
      </c>
    </row>
    <row r="163" spans="1:11" x14ac:dyDescent="0.3">
      <c r="A163" s="1" t="s">
        <v>75</v>
      </c>
      <c r="B163" s="1" t="s">
        <v>48</v>
      </c>
      <c r="C163" s="1" t="s">
        <v>24</v>
      </c>
      <c r="D163" s="1" t="s">
        <v>12</v>
      </c>
      <c r="E163" s="1">
        <v>640.64</v>
      </c>
      <c r="F163" s="1">
        <v>11</v>
      </c>
      <c r="G163" s="2">
        <v>0.2</v>
      </c>
      <c r="H163" s="3">
        <v>45678</v>
      </c>
      <c r="I163" s="1">
        <v>205</v>
      </c>
      <c r="J163" s="8" t="str">
        <f t="shared" si="4"/>
        <v>Jan-2025</v>
      </c>
      <c r="K163" s="24">
        <f t="shared" ca="1" si="5"/>
        <v>46115.806767245369</v>
      </c>
    </row>
    <row r="164" spans="1:11" x14ac:dyDescent="0.3">
      <c r="A164" s="1" t="s">
        <v>22</v>
      </c>
      <c r="B164" s="1" t="s">
        <v>43</v>
      </c>
      <c r="C164" s="1" t="s">
        <v>11</v>
      </c>
      <c r="D164" s="1" t="s">
        <v>15</v>
      </c>
      <c r="E164" s="1">
        <v>585.16</v>
      </c>
      <c r="F164" s="1">
        <v>17</v>
      </c>
      <c r="G164" s="2">
        <v>0.1</v>
      </c>
      <c r="H164" s="3">
        <v>45684</v>
      </c>
      <c r="I164" s="1">
        <v>263.32</v>
      </c>
      <c r="J164" s="8" t="str">
        <f t="shared" si="4"/>
        <v>Jan-2025</v>
      </c>
      <c r="K164" s="24">
        <f t="shared" ca="1" si="5"/>
        <v>46115.806767245369</v>
      </c>
    </row>
    <row r="165" spans="1:11" x14ac:dyDescent="0.3">
      <c r="A165" s="1" t="s">
        <v>22</v>
      </c>
      <c r="B165" s="1" t="s">
        <v>31</v>
      </c>
      <c r="C165" s="1" t="s">
        <v>18</v>
      </c>
      <c r="D165" s="1" t="s">
        <v>15</v>
      </c>
      <c r="E165" s="1">
        <v>1109.98</v>
      </c>
      <c r="F165" s="1">
        <v>5</v>
      </c>
      <c r="G165" s="2">
        <v>0.2</v>
      </c>
      <c r="H165" s="3">
        <v>45690</v>
      </c>
      <c r="I165" s="1">
        <v>443.99</v>
      </c>
      <c r="J165" s="8" t="str">
        <f t="shared" si="4"/>
        <v>Feb-2025</v>
      </c>
      <c r="K165" s="24">
        <f t="shared" ca="1" si="5"/>
        <v>46115.806767245369</v>
      </c>
    </row>
    <row r="166" spans="1:11" x14ac:dyDescent="0.3">
      <c r="A166" s="1" t="s">
        <v>58</v>
      </c>
      <c r="B166" s="1" t="s">
        <v>45</v>
      </c>
      <c r="C166" s="1" t="s">
        <v>18</v>
      </c>
      <c r="D166" s="1" t="s">
        <v>12</v>
      </c>
      <c r="E166" s="1">
        <v>1098.08</v>
      </c>
      <c r="F166" s="1">
        <v>9</v>
      </c>
      <c r="G166" s="2">
        <v>0.1</v>
      </c>
      <c r="H166" s="3">
        <v>45692</v>
      </c>
      <c r="I166" s="1">
        <v>395.31</v>
      </c>
      <c r="J166" s="8" t="str">
        <f t="shared" si="4"/>
        <v>Feb-2025</v>
      </c>
      <c r="K166" s="24">
        <f t="shared" ca="1" si="5"/>
        <v>46115.806767245369</v>
      </c>
    </row>
    <row r="167" spans="1:11" x14ac:dyDescent="0.3">
      <c r="A167" s="1" t="s">
        <v>65</v>
      </c>
      <c r="B167" s="1" t="s">
        <v>48</v>
      </c>
      <c r="C167" s="1" t="s">
        <v>11</v>
      </c>
      <c r="D167" s="1" t="s">
        <v>39</v>
      </c>
      <c r="E167" s="1">
        <v>827.25</v>
      </c>
      <c r="F167" s="1">
        <v>7</v>
      </c>
      <c r="G167" s="2">
        <v>0.1</v>
      </c>
      <c r="H167" s="3">
        <v>45693</v>
      </c>
      <c r="I167" s="1">
        <v>335.04</v>
      </c>
      <c r="J167" s="8" t="str">
        <f t="shared" si="4"/>
        <v>Feb-2025</v>
      </c>
      <c r="K167" s="24">
        <f t="shared" ca="1" si="5"/>
        <v>46115.806767245369</v>
      </c>
    </row>
    <row r="168" spans="1:11" x14ac:dyDescent="0.3">
      <c r="A168" s="1" t="s">
        <v>70</v>
      </c>
      <c r="B168" s="1" t="s">
        <v>29</v>
      </c>
      <c r="C168" s="1" t="s">
        <v>34</v>
      </c>
      <c r="D168" s="1" t="s">
        <v>15</v>
      </c>
      <c r="E168" s="1">
        <v>741.88</v>
      </c>
      <c r="F168" s="1">
        <v>16</v>
      </c>
      <c r="G168" s="2">
        <v>0.1</v>
      </c>
      <c r="H168" s="3">
        <v>45695</v>
      </c>
      <c r="I168" s="1">
        <v>333.85</v>
      </c>
      <c r="J168" s="8" t="str">
        <f t="shared" si="4"/>
        <v>Feb-2025</v>
      </c>
      <c r="K168" s="24">
        <f t="shared" ca="1" si="5"/>
        <v>46115.806767245369</v>
      </c>
    </row>
    <row r="169" spans="1:11" x14ac:dyDescent="0.3">
      <c r="A169" s="1" t="s">
        <v>72</v>
      </c>
      <c r="B169" s="1" t="s">
        <v>10</v>
      </c>
      <c r="C169" s="1" t="s">
        <v>18</v>
      </c>
      <c r="D169" s="1" t="s">
        <v>39</v>
      </c>
      <c r="E169" s="1">
        <v>1311.26</v>
      </c>
      <c r="F169" s="1">
        <v>6</v>
      </c>
      <c r="G169" s="2">
        <v>0.1</v>
      </c>
      <c r="H169" s="3">
        <v>45698</v>
      </c>
      <c r="I169" s="1">
        <v>531.05999999999995</v>
      </c>
      <c r="J169" s="8" t="str">
        <f t="shared" si="4"/>
        <v>Feb-2025</v>
      </c>
      <c r="K169" s="24">
        <f t="shared" ca="1" si="5"/>
        <v>46115.806767245369</v>
      </c>
    </row>
    <row r="170" spans="1:11" x14ac:dyDescent="0.3">
      <c r="A170" s="1" t="s">
        <v>72</v>
      </c>
      <c r="B170" s="1" t="s">
        <v>31</v>
      </c>
      <c r="C170" s="1" t="s">
        <v>20</v>
      </c>
      <c r="D170" s="1" t="s">
        <v>39</v>
      </c>
      <c r="E170" s="1">
        <v>573.32000000000005</v>
      </c>
      <c r="F170" s="1">
        <v>19</v>
      </c>
      <c r="G170" s="2">
        <v>0.1</v>
      </c>
      <c r="H170" s="3">
        <v>45703</v>
      </c>
      <c r="I170" s="1">
        <v>232.19</v>
      </c>
      <c r="J170" s="8" t="str">
        <f t="shared" si="4"/>
        <v>Feb-2025</v>
      </c>
      <c r="K170" s="24">
        <f t="shared" ca="1" si="5"/>
        <v>46115.806767245369</v>
      </c>
    </row>
    <row r="171" spans="1:11" x14ac:dyDescent="0.3">
      <c r="A171" s="1" t="s">
        <v>52</v>
      </c>
      <c r="B171" s="1" t="s">
        <v>23</v>
      </c>
      <c r="C171" s="1" t="s">
        <v>11</v>
      </c>
      <c r="D171" s="1" t="s">
        <v>21</v>
      </c>
      <c r="E171" s="1">
        <v>1115.22</v>
      </c>
      <c r="F171" s="1">
        <v>14</v>
      </c>
      <c r="G171" s="2">
        <v>0.2</v>
      </c>
      <c r="H171" s="3">
        <v>45705</v>
      </c>
      <c r="I171" s="1">
        <v>223.04</v>
      </c>
      <c r="J171" s="8" t="str">
        <f t="shared" si="4"/>
        <v>Feb-2025</v>
      </c>
      <c r="K171" s="24">
        <f t="shared" ca="1" si="5"/>
        <v>46115.806767245369</v>
      </c>
    </row>
    <row r="172" spans="1:11" x14ac:dyDescent="0.3">
      <c r="A172" s="1" t="s">
        <v>13</v>
      </c>
      <c r="B172" s="1" t="s">
        <v>45</v>
      </c>
      <c r="C172" s="1" t="s">
        <v>24</v>
      </c>
      <c r="D172" s="1" t="s">
        <v>15</v>
      </c>
      <c r="E172" s="1">
        <v>845.84</v>
      </c>
      <c r="F172" s="1">
        <v>4</v>
      </c>
      <c r="G172" s="2">
        <v>0</v>
      </c>
      <c r="H172" s="3">
        <v>45707</v>
      </c>
      <c r="I172" s="1">
        <v>422.92</v>
      </c>
      <c r="J172" s="8" t="str">
        <f t="shared" si="4"/>
        <v>Feb-2025</v>
      </c>
      <c r="K172" s="24">
        <f t="shared" ca="1" si="5"/>
        <v>46115.806767245369</v>
      </c>
    </row>
    <row r="173" spans="1:11" x14ac:dyDescent="0.3">
      <c r="A173" s="1" t="s">
        <v>30</v>
      </c>
      <c r="B173" s="1" t="s">
        <v>55</v>
      </c>
      <c r="C173" s="1" t="s">
        <v>11</v>
      </c>
      <c r="D173" s="1" t="s">
        <v>21</v>
      </c>
      <c r="E173" s="1">
        <v>1029.8</v>
      </c>
      <c r="F173" s="1">
        <v>3</v>
      </c>
      <c r="G173" s="2">
        <v>0</v>
      </c>
      <c r="H173" s="3">
        <v>45708</v>
      </c>
      <c r="I173" s="1">
        <v>257.45</v>
      </c>
      <c r="J173" s="8" t="str">
        <f t="shared" si="4"/>
        <v>Feb-2025</v>
      </c>
      <c r="K173" s="24">
        <f t="shared" ca="1" si="5"/>
        <v>46115.806767245369</v>
      </c>
    </row>
    <row r="174" spans="1:11" x14ac:dyDescent="0.3">
      <c r="A174" s="1" t="s">
        <v>32</v>
      </c>
      <c r="B174" s="1" t="s">
        <v>31</v>
      </c>
      <c r="C174" s="1" t="s">
        <v>24</v>
      </c>
      <c r="D174" s="1" t="s">
        <v>12</v>
      </c>
      <c r="E174" s="1">
        <v>1189.83</v>
      </c>
      <c r="F174" s="1">
        <v>2</v>
      </c>
      <c r="G174" s="2">
        <v>0.2</v>
      </c>
      <c r="H174" s="3">
        <v>45709</v>
      </c>
      <c r="I174" s="1">
        <v>380.75</v>
      </c>
      <c r="J174" s="8" t="str">
        <f t="shared" si="4"/>
        <v>Feb-2025</v>
      </c>
      <c r="K174" s="24">
        <f t="shared" ca="1" si="5"/>
        <v>46115.806767245369</v>
      </c>
    </row>
    <row r="175" spans="1:11" x14ac:dyDescent="0.3">
      <c r="A175" s="1" t="s">
        <v>67</v>
      </c>
      <c r="B175" s="1" t="s">
        <v>43</v>
      </c>
      <c r="C175" s="1" t="s">
        <v>20</v>
      </c>
      <c r="D175" s="1" t="s">
        <v>12</v>
      </c>
      <c r="E175" s="1">
        <v>704.28</v>
      </c>
      <c r="F175" s="1">
        <v>15</v>
      </c>
      <c r="G175" s="2">
        <v>0.2</v>
      </c>
      <c r="H175" s="3">
        <v>45712</v>
      </c>
      <c r="I175" s="1">
        <v>225.37</v>
      </c>
      <c r="J175" s="8" t="str">
        <f t="shared" si="4"/>
        <v>Feb-2025</v>
      </c>
      <c r="K175" s="24">
        <f t="shared" ca="1" si="5"/>
        <v>46115.806767245369</v>
      </c>
    </row>
    <row r="176" spans="1:11" x14ac:dyDescent="0.3">
      <c r="A176" s="1" t="s">
        <v>65</v>
      </c>
      <c r="B176" s="1" t="s">
        <v>47</v>
      </c>
      <c r="C176" s="1" t="s">
        <v>34</v>
      </c>
      <c r="D176" s="1" t="s">
        <v>39</v>
      </c>
      <c r="E176" s="1">
        <v>1618.22</v>
      </c>
      <c r="F176" s="1">
        <v>12</v>
      </c>
      <c r="G176" s="2">
        <v>0.2</v>
      </c>
      <c r="H176" s="3">
        <v>45712</v>
      </c>
      <c r="I176" s="1">
        <v>582.55999999999995</v>
      </c>
      <c r="J176" s="8" t="str">
        <f t="shared" si="4"/>
        <v>Feb-2025</v>
      </c>
      <c r="K176" s="24">
        <f t="shared" ca="1" si="5"/>
        <v>46115.806767245369</v>
      </c>
    </row>
    <row r="177" spans="1:11" x14ac:dyDescent="0.3">
      <c r="A177" s="1" t="s">
        <v>73</v>
      </c>
      <c r="B177" s="1" t="s">
        <v>53</v>
      </c>
      <c r="C177" s="1" t="s">
        <v>34</v>
      </c>
      <c r="D177" s="1" t="s">
        <v>12</v>
      </c>
      <c r="E177" s="1">
        <v>1014.43</v>
      </c>
      <c r="F177" s="1">
        <v>2</v>
      </c>
      <c r="G177" s="2">
        <v>0.15</v>
      </c>
      <c r="H177" s="3">
        <v>45713</v>
      </c>
      <c r="I177" s="1">
        <v>344.91</v>
      </c>
      <c r="J177" s="8" t="str">
        <f t="shared" si="4"/>
        <v>Feb-2025</v>
      </c>
      <c r="K177" s="24">
        <f t="shared" ca="1" si="5"/>
        <v>46115.806767245369</v>
      </c>
    </row>
    <row r="178" spans="1:11" x14ac:dyDescent="0.3">
      <c r="A178" s="1" t="s">
        <v>75</v>
      </c>
      <c r="B178" s="1" t="s">
        <v>31</v>
      </c>
      <c r="C178" s="1" t="s">
        <v>34</v>
      </c>
      <c r="D178" s="1" t="s">
        <v>15</v>
      </c>
      <c r="E178" s="1">
        <v>826.97</v>
      </c>
      <c r="F178" s="1">
        <v>18</v>
      </c>
      <c r="G178" s="2">
        <v>0.2</v>
      </c>
      <c r="H178" s="3">
        <v>45715</v>
      </c>
      <c r="I178" s="1">
        <v>330.79</v>
      </c>
      <c r="J178" s="8" t="str">
        <f t="shared" si="4"/>
        <v>Feb-2025</v>
      </c>
      <c r="K178" s="24">
        <f t="shared" ca="1" si="5"/>
        <v>46115.806767245369</v>
      </c>
    </row>
    <row r="179" spans="1:11" x14ac:dyDescent="0.3">
      <c r="A179" s="1" t="s">
        <v>16</v>
      </c>
      <c r="B179" s="1" t="s">
        <v>31</v>
      </c>
      <c r="C179" s="1" t="s">
        <v>34</v>
      </c>
      <c r="D179" s="1" t="s">
        <v>15</v>
      </c>
      <c r="E179" s="1">
        <v>1022.23</v>
      </c>
      <c r="F179" s="1">
        <v>8</v>
      </c>
      <c r="G179" s="2">
        <v>0.1</v>
      </c>
      <c r="H179" s="3">
        <v>45717</v>
      </c>
      <c r="I179" s="1">
        <v>460</v>
      </c>
      <c r="J179" s="8" t="str">
        <f t="shared" si="4"/>
        <v>Mar-2025</v>
      </c>
      <c r="K179" s="24">
        <f t="shared" ca="1" si="5"/>
        <v>46115.806767245369</v>
      </c>
    </row>
    <row r="180" spans="1:11" x14ac:dyDescent="0.3">
      <c r="A180" s="1" t="s">
        <v>72</v>
      </c>
      <c r="B180" s="1" t="s">
        <v>29</v>
      </c>
      <c r="C180" s="1" t="s">
        <v>18</v>
      </c>
      <c r="D180" s="1" t="s">
        <v>12</v>
      </c>
      <c r="E180" s="1">
        <v>1099.69</v>
      </c>
      <c r="F180" s="1">
        <v>6</v>
      </c>
      <c r="G180" s="2">
        <v>0</v>
      </c>
      <c r="H180" s="3">
        <v>45718</v>
      </c>
      <c r="I180" s="1">
        <v>439.88</v>
      </c>
      <c r="J180" s="8" t="str">
        <f t="shared" si="4"/>
        <v>Mar-2025</v>
      </c>
      <c r="K180" s="24">
        <f t="shared" ca="1" si="5"/>
        <v>46115.806767245369</v>
      </c>
    </row>
    <row r="181" spans="1:11" x14ac:dyDescent="0.3">
      <c r="A181" s="1" t="s">
        <v>52</v>
      </c>
      <c r="B181" s="1" t="s">
        <v>64</v>
      </c>
      <c r="C181" s="1" t="s">
        <v>24</v>
      </c>
      <c r="D181" s="1" t="s">
        <v>12</v>
      </c>
      <c r="E181" s="1">
        <v>710.52</v>
      </c>
      <c r="F181" s="1">
        <v>8</v>
      </c>
      <c r="G181" s="2">
        <v>0.1</v>
      </c>
      <c r="H181" s="3">
        <v>45721</v>
      </c>
      <c r="I181" s="1">
        <v>255.79</v>
      </c>
      <c r="J181" s="8" t="str">
        <f t="shared" si="4"/>
        <v>Mar-2025</v>
      </c>
      <c r="K181" s="24">
        <f t="shared" ca="1" si="5"/>
        <v>46115.806767245369</v>
      </c>
    </row>
    <row r="182" spans="1:11" x14ac:dyDescent="0.3">
      <c r="A182" s="1" t="s">
        <v>52</v>
      </c>
      <c r="B182" s="1" t="s">
        <v>59</v>
      </c>
      <c r="C182" s="1" t="s">
        <v>24</v>
      </c>
      <c r="D182" s="1" t="s">
        <v>12</v>
      </c>
      <c r="E182" s="1">
        <v>499.18</v>
      </c>
      <c r="F182" s="1">
        <v>15</v>
      </c>
      <c r="G182" s="2">
        <v>0.2</v>
      </c>
      <c r="H182" s="3">
        <v>45724</v>
      </c>
      <c r="I182" s="1">
        <v>159.74</v>
      </c>
      <c r="J182" s="8" t="str">
        <f t="shared" si="4"/>
        <v>Mar-2025</v>
      </c>
      <c r="K182" s="24">
        <f t="shared" ca="1" si="5"/>
        <v>46115.806767245369</v>
      </c>
    </row>
    <row r="183" spans="1:11" x14ac:dyDescent="0.3">
      <c r="A183" s="1" t="s">
        <v>37</v>
      </c>
      <c r="B183" s="1" t="s">
        <v>38</v>
      </c>
      <c r="C183" s="1" t="s">
        <v>20</v>
      </c>
      <c r="D183" s="1" t="s">
        <v>12</v>
      </c>
      <c r="E183" s="1">
        <v>1064.19</v>
      </c>
      <c r="F183" s="1">
        <v>18</v>
      </c>
      <c r="G183" s="2">
        <v>0.05</v>
      </c>
      <c r="H183" s="3">
        <v>45725</v>
      </c>
      <c r="I183" s="1">
        <v>404.39</v>
      </c>
      <c r="J183" s="8" t="str">
        <f t="shared" si="4"/>
        <v>Mar-2025</v>
      </c>
      <c r="K183" s="24">
        <f t="shared" ca="1" si="5"/>
        <v>46115.806767245369</v>
      </c>
    </row>
    <row r="184" spans="1:11" x14ac:dyDescent="0.3">
      <c r="A184" s="1" t="s">
        <v>67</v>
      </c>
      <c r="B184" s="1" t="s">
        <v>38</v>
      </c>
      <c r="C184" s="1" t="s">
        <v>18</v>
      </c>
      <c r="D184" s="1" t="s">
        <v>39</v>
      </c>
      <c r="E184" s="1">
        <v>438.76</v>
      </c>
      <c r="F184" s="1">
        <v>18</v>
      </c>
      <c r="G184" s="2">
        <v>0.05</v>
      </c>
      <c r="H184" s="3">
        <v>45726</v>
      </c>
      <c r="I184" s="1">
        <v>187.57</v>
      </c>
      <c r="J184" s="8" t="str">
        <f t="shared" si="4"/>
        <v>Mar-2025</v>
      </c>
      <c r="K184" s="24">
        <f t="shared" ca="1" si="5"/>
        <v>46115.806767245369</v>
      </c>
    </row>
    <row r="185" spans="1:11" x14ac:dyDescent="0.3">
      <c r="A185" s="1" t="s">
        <v>41</v>
      </c>
      <c r="B185" s="1" t="s">
        <v>55</v>
      </c>
      <c r="C185" s="1" t="s">
        <v>11</v>
      </c>
      <c r="D185" s="1" t="s">
        <v>15</v>
      </c>
      <c r="E185" s="1">
        <v>864.98</v>
      </c>
      <c r="F185" s="1">
        <v>2</v>
      </c>
      <c r="G185" s="2">
        <v>0.05</v>
      </c>
      <c r="H185" s="3">
        <v>45727</v>
      </c>
      <c r="I185" s="1">
        <v>410.87</v>
      </c>
      <c r="J185" s="8" t="str">
        <f t="shared" si="4"/>
        <v>Mar-2025</v>
      </c>
      <c r="K185" s="24">
        <f t="shared" ca="1" si="5"/>
        <v>46115.806767245369</v>
      </c>
    </row>
    <row r="186" spans="1:11" x14ac:dyDescent="0.3">
      <c r="A186" s="1" t="s">
        <v>57</v>
      </c>
      <c r="B186" s="1" t="s">
        <v>55</v>
      </c>
      <c r="C186" s="1" t="s">
        <v>11</v>
      </c>
      <c r="D186" s="1" t="s">
        <v>27</v>
      </c>
      <c r="E186" s="1">
        <v>984.93</v>
      </c>
      <c r="F186" s="1">
        <v>14</v>
      </c>
      <c r="G186" s="2">
        <v>0.2</v>
      </c>
      <c r="H186" s="3">
        <v>45733</v>
      </c>
      <c r="I186" s="1">
        <v>275.77999999999997</v>
      </c>
      <c r="J186" s="8" t="str">
        <f t="shared" si="4"/>
        <v>Mar-2025</v>
      </c>
      <c r="K186" s="24">
        <f t="shared" ca="1" si="5"/>
        <v>46115.806767245369</v>
      </c>
    </row>
    <row r="187" spans="1:11" x14ac:dyDescent="0.3">
      <c r="A187" s="1" t="s">
        <v>25</v>
      </c>
      <c r="B187" s="1" t="s">
        <v>55</v>
      </c>
      <c r="C187" s="1" t="s">
        <v>11</v>
      </c>
      <c r="D187" s="1" t="s">
        <v>15</v>
      </c>
      <c r="E187" s="1">
        <v>1493.49</v>
      </c>
      <c r="F187" s="1">
        <v>18</v>
      </c>
      <c r="G187" s="2">
        <v>0</v>
      </c>
      <c r="H187" s="3">
        <v>45734</v>
      </c>
      <c r="I187" s="1">
        <v>746.74</v>
      </c>
      <c r="J187" s="8" t="str">
        <f t="shared" si="4"/>
        <v>Mar-2025</v>
      </c>
      <c r="K187" s="24">
        <f t="shared" ca="1" si="5"/>
        <v>46115.806767245369</v>
      </c>
    </row>
    <row r="188" spans="1:11" x14ac:dyDescent="0.3">
      <c r="A188" s="1" t="s">
        <v>32</v>
      </c>
      <c r="B188" s="1" t="s">
        <v>53</v>
      </c>
      <c r="C188" s="1" t="s">
        <v>20</v>
      </c>
      <c r="D188" s="1" t="s">
        <v>15</v>
      </c>
      <c r="E188" s="1">
        <v>689.43</v>
      </c>
      <c r="F188" s="1">
        <v>9</v>
      </c>
      <c r="G188" s="2">
        <v>0.1</v>
      </c>
      <c r="H188" s="3">
        <v>45736</v>
      </c>
      <c r="I188" s="1">
        <v>310.24</v>
      </c>
      <c r="J188" s="8" t="str">
        <f t="shared" si="4"/>
        <v>Mar-2025</v>
      </c>
      <c r="K188" s="24">
        <f t="shared" ca="1" si="5"/>
        <v>46115.806767245369</v>
      </c>
    </row>
    <row r="189" spans="1:11" x14ac:dyDescent="0.3">
      <c r="A189" s="1" t="s">
        <v>40</v>
      </c>
      <c r="B189" s="1" t="s">
        <v>59</v>
      </c>
      <c r="C189" s="1" t="s">
        <v>20</v>
      </c>
      <c r="D189" s="1" t="s">
        <v>15</v>
      </c>
      <c r="E189" s="1">
        <v>682.24</v>
      </c>
      <c r="F189" s="1">
        <v>1</v>
      </c>
      <c r="G189" s="2">
        <v>0</v>
      </c>
      <c r="H189" s="3">
        <v>45738</v>
      </c>
      <c r="I189" s="1">
        <v>341.12</v>
      </c>
      <c r="J189" s="8" t="str">
        <f t="shared" si="4"/>
        <v>Mar-2025</v>
      </c>
      <c r="K189" s="24">
        <f t="shared" ca="1" si="5"/>
        <v>46115.806767245369</v>
      </c>
    </row>
    <row r="190" spans="1:11" x14ac:dyDescent="0.3">
      <c r="A190" s="1" t="s">
        <v>41</v>
      </c>
      <c r="B190" s="1" t="s">
        <v>26</v>
      </c>
      <c r="C190" s="1" t="s">
        <v>24</v>
      </c>
      <c r="D190" s="1" t="s">
        <v>21</v>
      </c>
      <c r="E190" s="1">
        <v>458.54</v>
      </c>
      <c r="F190" s="1">
        <v>15</v>
      </c>
      <c r="G190" s="2">
        <v>0.2</v>
      </c>
      <c r="H190" s="3">
        <v>45741</v>
      </c>
      <c r="I190" s="1">
        <v>91.71</v>
      </c>
      <c r="J190" s="8" t="str">
        <f t="shared" si="4"/>
        <v>Mar-2025</v>
      </c>
      <c r="K190" s="24">
        <f t="shared" ca="1" si="5"/>
        <v>46115.806767245369</v>
      </c>
    </row>
    <row r="191" spans="1:11" x14ac:dyDescent="0.3">
      <c r="A191" s="1" t="s">
        <v>32</v>
      </c>
      <c r="B191" s="1" t="s">
        <v>26</v>
      </c>
      <c r="C191" s="1" t="s">
        <v>20</v>
      </c>
      <c r="D191" s="1" t="s">
        <v>27</v>
      </c>
      <c r="E191" s="1">
        <v>1184.25</v>
      </c>
      <c r="F191" s="1">
        <v>11</v>
      </c>
      <c r="G191" s="2">
        <v>0.2</v>
      </c>
      <c r="H191" s="3">
        <v>45742</v>
      </c>
      <c r="I191" s="1">
        <v>331.59</v>
      </c>
      <c r="J191" s="8" t="str">
        <f t="shared" si="4"/>
        <v>Mar-2025</v>
      </c>
      <c r="K191" s="24">
        <f t="shared" ca="1" si="5"/>
        <v>46115.806767245369</v>
      </c>
    </row>
    <row r="192" spans="1:11" x14ac:dyDescent="0.3">
      <c r="A192" s="1" t="s">
        <v>25</v>
      </c>
      <c r="B192" s="1" t="s">
        <v>10</v>
      </c>
      <c r="C192" s="1" t="s">
        <v>20</v>
      </c>
      <c r="D192" s="1" t="s">
        <v>15</v>
      </c>
      <c r="E192" s="1">
        <v>762.14</v>
      </c>
      <c r="F192" s="1">
        <v>9</v>
      </c>
      <c r="G192" s="2">
        <v>0</v>
      </c>
      <c r="H192" s="3">
        <v>45743</v>
      </c>
      <c r="I192" s="1">
        <v>381.07</v>
      </c>
      <c r="J192" s="8" t="str">
        <f t="shared" si="4"/>
        <v>Mar-2025</v>
      </c>
      <c r="K192" s="24">
        <f t="shared" ca="1" si="5"/>
        <v>46115.806767245369</v>
      </c>
    </row>
    <row r="193" spans="1:11" x14ac:dyDescent="0.3">
      <c r="A193" s="1" t="s">
        <v>22</v>
      </c>
      <c r="B193" s="1" t="s">
        <v>53</v>
      </c>
      <c r="C193" s="1" t="s">
        <v>24</v>
      </c>
      <c r="D193" s="1" t="s">
        <v>12</v>
      </c>
      <c r="E193" s="1">
        <v>750.71</v>
      </c>
      <c r="F193" s="1">
        <v>10</v>
      </c>
      <c r="G193" s="2">
        <v>0.15</v>
      </c>
      <c r="H193" s="3">
        <v>45743</v>
      </c>
      <c r="I193" s="1">
        <v>255.24</v>
      </c>
      <c r="J193" s="8" t="str">
        <f t="shared" si="4"/>
        <v>Mar-2025</v>
      </c>
      <c r="K193" s="24">
        <f t="shared" ca="1" si="5"/>
        <v>46115.806767245369</v>
      </c>
    </row>
    <row r="194" spans="1:11" x14ac:dyDescent="0.3">
      <c r="A194" s="1" t="s">
        <v>75</v>
      </c>
      <c r="B194" s="1" t="s">
        <v>71</v>
      </c>
      <c r="C194" s="1" t="s">
        <v>34</v>
      </c>
      <c r="D194" s="1" t="s">
        <v>15</v>
      </c>
      <c r="E194" s="1">
        <v>1456.94</v>
      </c>
      <c r="F194" s="1">
        <v>14</v>
      </c>
      <c r="G194" s="2">
        <v>0.05</v>
      </c>
      <c r="H194" s="3">
        <v>45745</v>
      </c>
      <c r="I194" s="1">
        <v>692.05</v>
      </c>
      <c r="J194" s="8" t="str">
        <f t="shared" si="4"/>
        <v>Mar-2025</v>
      </c>
      <c r="K194" s="24">
        <f t="shared" ca="1" si="5"/>
        <v>46115.806767245369</v>
      </c>
    </row>
    <row r="195" spans="1:11" x14ac:dyDescent="0.3">
      <c r="A195" s="1" t="s">
        <v>44</v>
      </c>
      <c r="B195" s="1" t="s">
        <v>61</v>
      </c>
      <c r="C195" s="1" t="s">
        <v>18</v>
      </c>
      <c r="D195" s="1" t="s">
        <v>27</v>
      </c>
      <c r="E195" s="1">
        <v>1093.3800000000001</v>
      </c>
      <c r="F195" s="1">
        <v>17</v>
      </c>
      <c r="G195" s="2">
        <v>0.1</v>
      </c>
      <c r="H195" s="3">
        <v>45745</v>
      </c>
      <c r="I195" s="1">
        <v>344.41</v>
      </c>
      <c r="J195" s="8" t="str">
        <f t="shared" ref="J195:J201" si="6">TEXT(H195,"mmm-yyy")</f>
        <v>Mar-2025</v>
      </c>
      <c r="K195" s="24">
        <f t="shared" ref="K195:K201" ca="1" si="7">NOW()</f>
        <v>46115.806767245369</v>
      </c>
    </row>
    <row r="196" spans="1:11" x14ac:dyDescent="0.3">
      <c r="A196" s="1" t="s">
        <v>37</v>
      </c>
      <c r="B196" s="1" t="s">
        <v>43</v>
      </c>
      <c r="C196" s="1" t="s">
        <v>11</v>
      </c>
      <c r="D196" s="1" t="s">
        <v>15</v>
      </c>
      <c r="E196" s="1">
        <v>934.27</v>
      </c>
      <c r="F196" s="1">
        <v>8</v>
      </c>
      <c r="G196" s="2">
        <v>0.15</v>
      </c>
      <c r="H196" s="3">
        <v>45746</v>
      </c>
      <c r="I196" s="1">
        <v>397.06</v>
      </c>
      <c r="J196" s="8" t="str">
        <f t="shared" si="6"/>
        <v>Mar-2025</v>
      </c>
      <c r="K196" s="24">
        <f t="shared" ca="1" si="7"/>
        <v>46115.806767245369</v>
      </c>
    </row>
    <row r="197" spans="1:11" x14ac:dyDescent="0.3">
      <c r="A197" s="1" t="s">
        <v>70</v>
      </c>
      <c r="B197" s="1" t="s">
        <v>36</v>
      </c>
      <c r="C197" s="1" t="s">
        <v>34</v>
      </c>
      <c r="D197" s="1" t="s">
        <v>15</v>
      </c>
      <c r="E197" s="1">
        <v>1465.35</v>
      </c>
      <c r="F197" s="1">
        <v>8</v>
      </c>
      <c r="G197" s="2">
        <v>0.2</v>
      </c>
      <c r="H197" s="3">
        <v>45746</v>
      </c>
      <c r="I197" s="1">
        <v>586.14</v>
      </c>
      <c r="J197" s="8" t="str">
        <f t="shared" si="6"/>
        <v>Mar-2025</v>
      </c>
      <c r="K197" s="24">
        <f t="shared" ca="1" si="7"/>
        <v>46115.806767245369</v>
      </c>
    </row>
    <row r="198" spans="1:11" x14ac:dyDescent="0.3">
      <c r="A198" s="1" t="s">
        <v>52</v>
      </c>
      <c r="B198" s="1" t="s">
        <v>14</v>
      </c>
      <c r="C198" s="1" t="s">
        <v>20</v>
      </c>
      <c r="D198" s="1" t="s">
        <v>39</v>
      </c>
      <c r="E198" s="1">
        <v>740.8</v>
      </c>
      <c r="F198" s="1">
        <v>3</v>
      </c>
      <c r="G198" s="2">
        <v>0</v>
      </c>
      <c r="H198" s="3">
        <v>45749</v>
      </c>
      <c r="I198" s="1">
        <v>333.36</v>
      </c>
      <c r="J198" s="8" t="str">
        <f t="shared" si="6"/>
        <v>Apr-2025</v>
      </c>
      <c r="K198" s="24">
        <f t="shared" ca="1" si="7"/>
        <v>46115.806767245369</v>
      </c>
    </row>
    <row r="199" spans="1:11" x14ac:dyDescent="0.3">
      <c r="A199" s="1" t="s">
        <v>58</v>
      </c>
      <c r="B199" s="1" t="s">
        <v>43</v>
      </c>
      <c r="C199" s="1" t="s">
        <v>11</v>
      </c>
      <c r="D199" s="1" t="s">
        <v>39</v>
      </c>
      <c r="E199" s="1">
        <v>545.44000000000005</v>
      </c>
      <c r="F199" s="1">
        <v>17</v>
      </c>
      <c r="G199" s="2">
        <v>0</v>
      </c>
      <c r="H199" s="3">
        <v>45752</v>
      </c>
      <c r="I199" s="1">
        <v>245.45</v>
      </c>
      <c r="J199" s="8" t="str">
        <f t="shared" si="6"/>
        <v>Apr-2025</v>
      </c>
      <c r="K199" s="24">
        <f t="shared" ca="1" si="7"/>
        <v>46115.806767245369</v>
      </c>
    </row>
    <row r="200" spans="1:11" x14ac:dyDescent="0.3">
      <c r="A200" s="1" t="s">
        <v>35</v>
      </c>
      <c r="B200" s="1" t="s">
        <v>36</v>
      </c>
      <c r="C200" s="1" t="s">
        <v>18</v>
      </c>
      <c r="D200" s="1" t="s">
        <v>12</v>
      </c>
      <c r="E200" s="1">
        <v>997.61</v>
      </c>
      <c r="F200" s="1">
        <v>8</v>
      </c>
      <c r="G200" s="2">
        <v>0.05</v>
      </c>
      <c r="H200" s="3">
        <v>45752</v>
      </c>
      <c r="I200" s="1">
        <v>379.09</v>
      </c>
      <c r="J200" s="8" t="str">
        <f t="shared" si="6"/>
        <v>Apr-2025</v>
      </c>
      <c r="K200" s="24">
        <f t="shared" ca="1" si="7"/>
        <v>46115.806767245369</v>
      </c>
    </row>
    <row r="201" spans="1:11" x14ac:dyDescent="0.3">
      <c r="A201" s="1" t="s">
        <v>60</v>
      </c>
      <c r="B201" s="1" t="s">
        <v>36</v>
      </c>
      <c r="C201" s="1" t="s">
        <v>20</v>
      </c>
      <c r="D201" s="1" t="s">
        <v>15</v>
      </c>
      <c r="E201" s="1">
        <v>928.32</v>
      </c>
      <c r="F201" s="1">
        <v>2</v>
      </c>
      <c r="G201" s="2">
        <v>0.05</v>
      </c>
      <c r="H201" s="3">
        <v>45754</v>
      </c>
      <c r="I201" s="1">
        <v>440.95</v>
      </c>
      <c r="J201" s="8" t="str">
        <f t="shared" si="6"/>
        <v>Apr-2025</v>
      </c>
      <c r="K201" s="24">
        <f t="shared" ca="1" si="7"/>
        <v>46115.806767245369</v>
      </c>
    </row>
  </sheetData>
  <conditionalFormatting sqref="B1:B201">
    <cfRule type="top10" dxfId="9" priority="1" rank="10"/>
    <cfRule type="top10" dxfId="8" priority="3" rank="10"/>
    <cfRule type="top10" dxfId="7" priority="5" rank="10"/>
  </conditionalFormatting>
  <conditionalFormatting sqref="B2:B201">
    <cfRule type="top10" dxfId="6" priority="4" rank="10"/>
  </conditionalFormatting>
  <conditionalFormatting sqref="C3:C8">
    <cfRule type="top10" dxfId="5" priority="2" percent="1" rank="1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CB07-53E8-49C1-9B3A-D1D0D0975921}">
  <dimension ref="A1:X201"/>
  <sheetViews>
    <sheetView zoomScale="70" zoomScaleNormal="70" workbookViewId="0">
      <selection activeCell="P30" sqref="P30"/>
    </sheetView>
  </sheetViews>
  <sheetFormatPr defaultRowHeight="14.4" x14ac:dyDescent="0.3"/>
  <cols>
    <col min="1" max="1" width="15.21875" customWidth="1"/>
    <col min="2" max="2" width="16.44140625" customWidth="1"/>
    <col min="3" max="3" width="10.21875" customWidth="1"/>
    <col min="4" max="4" width="17.77734375" customWidth="1"/>
    <col min="5" max="5" width="9" customWidth="1"/>
    <col min="8" max="8" width="14.44140625" customWidth="1"/>
    <col min="11" max="11" width="13.33203125" customWidth="1"/>
    <col min="14" max="14" width="11" bestFit="1" customWidth="1"/>
    <col min="15" max="15" width="14.77734375" bestFit="1" customWidth="1"/>
    <col min="16" max="16" width="13.21875" bestFit="1" customWidth="1"/>
    <col min="17" max="17" width="13.109375" bestFit="1" customWidth="1"/>
  </cols>
  <sheetData>
    <row r="1" spans="1:24" ht="28.8" x14ac:dyDescent="0.3">
      <c r="A1" s="13" t="s">
        <v>0</v>
      </c>
      <c r="B1" s="13" t="s">
        <v>1</v>
      </c>
      <c r="C1" s="13" t="s">
        <v>2</v>
      </c>
      <c r="D1" s="13" t="s">
        <v>3</v>
      </c>
      <c r="E1" s="13" t="s">
        <v>4</v>
      </c>
      <c r="F1" s="13" t="s">
        <v>5</v>
      </c>
      <c r="G1" s="14" t="s">
        <v>6</v>
      </c>
      <c r="H1" s="15" t="s">
        <v>7</v>
      </c>
      <c r="I1" s="13" t="s">
        <v>8</v>
      </c>
      <c r="J1" s="19" t="s">
        <v>124</v>
      </c>
      <c r="K1" s="13" t="s">
        <v>143</v>
      </c>
    </row>
    <row r="2" spans="1:24" x14ac:dyDescent="0.3">
      <c r="A2" s="1" t="s">
        <v>9</v>
      </c>
      <c r="B2" s="1" t="s">
        <v>10</v>
      </c>
      <c r="C2" s="1" t="s">
        <v>11</v>
      </c>
      <c r="D2" s="1" t="s">
        <v>12</v>
      </c>
      <c r="E2" s="1">
        <v>1036.0899999999999</v>
      </c>
      <c r="F2" s="1">
        <v>4</v>
      </c>
      <c r="G2" s="2">
        <v>0.2</v>
      </c>
      <c r="H2" s="3">
        <v>45392</v>
      </c>
      <c r="I2" s="1">
        <v>331.55</v>
      </c>
      <c r="J2" s="8" t="str">
        <f>TEXT(H2,"mmm-yyy")</f>
        <v>Apr-2024</v>
      </c>
      <c r="K2" s="8">
        <f>SUMIFS($E:$E,$A:$A,A2)</f>
        <v>4640.1099999999997</v>
      </c>
    </row>
    <row r="3" spans="1:24" x14ac:dyDescent="0.3">
      <c r="A3" s="1" t="s">
        <v>13</v>
      </c>
      <c r="B3" s="1" t="s">
        <v>14</v>
      </c>
      <c r="C3" s="1" t="s">
        <v>11</v>
      </c>
      <c r="D3" s="1" t="s">
        <v>15</v>
      </c>
      <c r="E3" s="1">
        <v>1101.28</v>
      </c>
      <c r="F3" s="1">
        <v>3</v>
      </c>
      <c r="G3" s="2">
        <v>0.2</v>
      </c>
      <c r="H3" s="3">
        <v>45393</v>
      </c>
      <c r="I3" s="1">
        <v>440.51</v>
      </c>
      <c r="J3" s="8" t="str">
        <f t="shared" ref="J3:J66" si="0">TEXT(H3,"mmm-yyy")</f>
        <v>Apr-2024</v>
      </c>
      <c r="K3" s="8">
        <f t="shared" ref="K3:K66" si="1">SUMIFS($E:$E,$A:$A,A3)</f>
        <v>8339</v>
      </c>
      <c r="N3" t="str" cm="1">
        <f t="array" ref="N3:X25">_xlfn._xlws.FILTER(A2:K201,K2:K201&gt;10000)</f>
        <v>CUST028</v>
      </c>
      <c r="O3" t="str">
        <v>Linda Taylor</v>
      </c>
      <c r="P3" t="str">
        <v>East</v>
      </c>
      <c r="Q3" t="str">
        <v>Office Supplies</v>
      </c>
      <c r="R3">
        <v>983.34</v>
      </c>
      <c r="S3">
        <v>19</v>
      </c>
      <c r="T3">
        <v>0.1</v>
      </c>
      <c r="U3">
        <v>45426</v>
      </c>
      <c r="V3">
        <v>398.25</v>
      </c>
      <c r="W3" t="str">
        <v>May-2024</v>
      </c>
      <c r="X3">
        <v>10293.870000000001</v>
      </c>
    </row>
    <row r="4" spans="1:24" x14ac:dyDescent="0.3">
      <c r="A4" s="1" t="s">
        <v>16</v>
      </c>
      <c r="B4" s="1" t="s">
        <v>17</v>
      </c>
      <c r="C4" s="1" t="s">
        <v>18</v>
      </c>
      <c r="D4" s="1" t="s">
        <v>12</v>
      </c>
      <c r="E4" s="1">
        <v>713.34</v>
      </c>
      <c r="F4" s="1">
        <v>17</v>
      </c>
      <c r="G4" s="2">
        <v>0</v>
      </c>
      <c r="H4" s="3">
        <v>45396</v>
      </c>
      <c r="I4" s="1">
        <v>285.33999999999997</v>
      </c>
      <c r="J4" s="8" t="str">
        <f t="shared" si="0"/>
        <v>Apr-2024</v>
      </c>
      <c r="K4" s="8">
        <f t="shared" si="1"/>
        <v>3419.2</v>
      </c>
      <c r="N4" t="str">
        <v>CUST028</v>
      </c>
      <c r="O4" t="str">
        <v>James Wilson</v>
      </c>
      <c r="P4" t="str">
        <v>South</v>
      </c>
      <c r="Q4" t="str">
        <v>Electronics</v>
      </c>
      <c r="R4">
        <v>801.21</v>
      </c>
      <c r="S4">
        <v>3</v>
      </c>
      <c r="T4">
        <v>0.2</v>
      </c>
      <c r="U4">
        <v>45426</v>
      </c>
      <c r="V4">
        <v>160.24</v>
      </c>
      <c r="W4" t="str">
        <v>May-2024</v>
      </c>
      <c r="X4">
        <v>10293.870000000001</v>
      </c>
    </row>
    <row r="5" spans="1:24" x14ac:dyDescent="0.3">
      <c r="A5" s="1" t="s">
        <v>19</v>
      </c>
      <c r="B5" s="1" t="s">
        <v>14</v>
      </c>
      <c r="C5" s="1" t="s">
        <v>20</v>
      </c>
      <c r="D5" s="1" t="s">
        <v>21</v>
      </c>
      <c r="E5" s="1">
        <v>760.93</v>
      </c>
      <c r="F5" s="1">
        <v>4</v>
      </c>
      <c r="G5" s="2">
        <v>0.15</v>
      </c>
      <c r="H5" s="3">
        <v>45396</v>
      </c>
      <c r="I5" s="1">
        <v>161.69999999999999</v>
      </c>
      <c r="J5" s="8" t="str">
        <f t="shared" si="0"/>
        <v>Apr-2024</v>
      </c>
      <c r="K5" s="8">
        <f t="shared" si="1"/>
        <v>6666.130000000001</v>
      </c>
      <c r="N5" t="str">
        <v>CUST015</v>
      </c>
      <c r="O5" t="str">
        <v>Linda Taylor</v>
      </c>
      <c r="P5" t="str">
        <v>North</v>
      </c>
      <c r="Q5" t="str">
        <v>Office Supplies</v>
      </c>
      <c r="R5">
        <v>1200.9000000000001</v>
      </c>
      <c r="S5">
        <v>14</v>
      </c>
      <c r="T5">
        <v>0.05</v>
      </c>
      <c r="U5">
        <v>45429</v>
      </c>
      <c r="V5">
        <v>513.38</v>
      </c>
      <c r="W5" t="str">
        <v>May-2024</v>
      </c>
      <c r="X5">
        <v>11611.060000000001</v>
      </c>
    </row>
    <row r="6" spans="1:24" x14ac:dyDescent="0.3">
      <c r="A6" s="1" t="s">
        <v>22</v>
      </c>
      <c r="B6" s="1" t="s">
        <v>23</v>
      </c>
      <c r="C6" s="1" t="s">
        <v>24</v>
      </c>
      <c r="D6" s="1" t="s">
        <v>12</v>
      </c>
      <c r="E6" s="1">
        <v>847</v>
      </c>
      <c r="F6" s="1">
        <v>12</v>
      </c>
      <c r="G6" s="2">
        <v>0.2</v>
      </c>
      <c r="H6" s="3">
        <v>45397</v>
      </c>
      <c r="I6" s="1">
        <v>271.04000000000002</v>
      </c>
      <c r="J6" s="8" t="str">
        <f t="shared" si="0"/>
        <v>Apr-2024</v>
      </c>
      <c r="K6" s="8">
        <f t="shared" si="1"/>
        <v>7928.71</v>
      </c>
      <c r="N6" t="str">
        <v>CUST028</v>
      </c>
      <c r="O6" t="str">
        <v>Lisa Davis</v>
      </c>
      <c r="P6" t="str">
        <v>Central</v>
      </c>
      <c r="Q6" t="str">
        <v>Furniture</v>
      </c>
      <c r="R6">
        <v>1410.06</v>
      </c>
      <c r="S6">
        <v>11</v>
      </c>
      <c r="T6">
        <v>0.05</v>
      </c>
      <c r="U6">
        <v>45434</v>
      </c>
      <c r="V6">
        <v>468.84</v>
      </c>
      <c r="W6" t="str">
        <v>May-2024</v>
      </c>
      <c r="X6">
        <v>10293.870000000001</v>
      </c>
    </row>
    <row r="7" spans="1:24" x14ac:dyDescent="0.3">
      <c r="A7" s="1" t="s">
        <v>25</v>
      </c>
      <c r="B7" s="1" t="s">
        <v>26</v>
      </c>
      <c r="C7" s="1" t="s">
        <v>24</v>
      </c>
      <c r="D7" s="1" t="s">
        <v>27</v>
      </c>
      <c r="E7" s="1">
        <v>965.64</v>
      </c>
      <c r="F7" s="1">
        <v>8</v>
      </c>
      <c r="G7" s="2">
        <v>0.1</v>
      </c>
      <c r="H7" s="3">
        <v>45398</v>
      </c>
      <c r="I7" s="1">
        <v>304.18</v>
      </c>
      <c r="J7" s="8" t="str">
        <f t="shared" si="0"/>
        <v>Apr-2024</v>
      </c>
      <c r="K7" s="8">
        <f t="shared" si="1"/>
        <v>9941.8799999999992</v>
      </c>
      <c r="N7" t="str">
        <v>CUST028</v>
      </c>
      <c r="O7" t="str">
        <v>James Wilson</v>
      </c>
      <c r="P7" t="str">
        <v>Central</v>
      </c>
      <c r="Q7" t="str">
        <v>Office Supplies</v>
      </c>
      <c r="R7">
        <v>1025.98</v>
      </c>
      <c r="S7">
        <v>5</v>
      </c>
      <c r="T7">
        <v>0.2</v>
      </c>
      <c r="U7">
        <v>45447</v>
      </c>
      <c r="V7">
        <v>369.35</v>
      </c>
      <c r="W7" t="str">
        <v>Jun-2024</v>
      </c>
      <c r="X7">
        <v>10293.870000000001</v>
      </c>
    </row>
    <row r="8" spans="1:24" x14ac:dyDescent="0.3">
      <c r="A8" s="1" t="s">
        <v>28</v>
      </c>
      <c r="B8" s="1" t="s">
        <v>29</v>
      </c>
      <c r="C8" s="1" t="s">
        <v>11</v>
      </c>
      <c r="D8" s="1" t="s">
        <v>21</v>
      </c>
      <c r="E8" s="1">
        <v>1317.53</v>
      </c>
      <c r="F8" s="1">
        <v>12</v>
      </c>
      <c r="G8" s="2">
        <v>0.05</v>
      </c>
      <c r="H8" s="3">
        <v>45398</v>
      </c>
      <c r="I8" s="1">
        <v>312.91000000000003</v>
      </c>
      <c r="J8" s="8" t="str">
        <f t="shared" si="0"/>
        <v>Apr-2024</v>
      </c>
      <c r="K8" s="8">
        <f t="shared" si="1"/>
        <v>6549.55</v>
      </c>
      <c r="N8" t="str">
        <v>CUST015</v>
      </c>
      <c r="O8" t="str">
        <v>James Wilson</v>
      </c>
      <c r="P8" t="str">
        <v>South</v>
      </c>
      <c r="Q8" t="str">
        <v>Clothing</v>
      </c>
      <c r="R8">
        <v>1226.6199999999999</v>
      </c>
      <c r="S8">
        <v>7</v>
      </c>
      <c r="T8">
        <v>0.1</v>
      </c>
      <c r="U8">
        <v>45463</v>
      </c>
      <c r="V8">
        <v>551.98</v>
      </c>
      <c r="W8" t="str">
        <v>Jun-2024</v>
      </c>
      <c r="X8">
        <v>11611.060000000001</v>
      </c>
    </row>
    <row r="9" spans="1:24" x14ac:dyDescent="0.3">
      <c r="A9" s="1" t="s">
        <v>30</v>
      </c>
      <c r="B9" s="1" t="s">
        <v>31</v>
      </c>
      <c r="C9" s="1" t="s">
        <v>18</v>
      </c>
      <c r="D9" s="1" t="s">
        <v>27</v>
      </c>
      <c r="E9" s="1">
        <v>1074.47</v>
      </c>
      <c r="F9" s="1">
        <v>6</v>
      </c>
      <c r="G9" s="2">
        <v>0.2</v>
      </c>
      <c r="H9" s="3">
        <v>45401</v>
      </c>
      <c r="I9" s="1">
        <v>300.85000000000002</v>
      </c>
      <c r="J9" s="8" t="str">
        <f t="shared" si="0"/>
        <v>Apr-2024</v>
      </c>
      <c r="K9" s="8">
        <f t="shared" si="1"/>
        <v>9371.81</v>
      </c>
      <c r="N9" t="str">
        <v>CUST028</v>
      </c>
      <c r="O9" t="str">
        <v>Linda Brown</v>
      </c>
      <c r="P9" t="str">
        <v>Central</v>
      </c>
      <c r="Q9" t="str">
        <v>Electronics</v>
      </c>
      <c r="R9">
        <v>790.08</v>
      </c>
      <c r="S9">
        <v>7</v>
      </c>
      <c r="T9">
        <v>0.1</v>
      </c>
      <c r="U9">
        <v>45536</v>
      </c>
      <c r="V9">
        <v>177.77</v>
      </c>
      <c r="W9" t="str">
        <v>Sep-2024</v>
      </c>
      <c r="X9">
        <v>10293.870000000001</v>
      </c>
    </row>
    <row r="10" spans="1:24" x14ac:dyDescent="0.3">
      <c r="A10" s="1" t="s">
        <v>32</v>
      </c>
      <c r="B10" s="1" t="s">
        <v>33</v>
      </c>
      <c r="C10" s="1" t="s">
        <v>34</v>
      </c>
      <c r="D10" s="1" t="s">
        <v>12</v>
      </c>
      <c r="E10" s="1">
        <v>501.54</v>
      </c>
      <c r="F10" s="1">
        <v>11</v>
      </c>
      <c r="G10" s="2">
        <v>0.05</v>
      </c>
      <c r="H10" s="3">
        <v>45401</v>
      </c>
      <c r="I10" s="1">
        <v>190.59</v>
      </c>
      <c r="J10" s="8" t="str">
        <f t="shared" si="0"/>
        <v>Apr-2024</v>
      </c>
      <c r="K10" s="8">
        <f t="shared" si="1"/>
        <v>6505.2</v>
      </c>
      <c r="N10" t="str">
        <v>CUST015</v>
      </c>
      <c r="O10" t="str">
        <v>David Thomas</v>
      </c>
      <c r="P10" t="str">
        <v>West</v>
      </c>
      <c r="Q10" t="str">
        <v>Clothing</v>
      </c>
      <c r="R10">
        <v>1168.8900000000001</v>
      </c>
      <c r="S10">
        <v>4</v>
      </c>
      <c r="T10">
        <v>0.1</v>
      </c>
      <c r="U10">
        <v>45544</v>
      </c>
      <c r="V10">
        <v>526</v>
      </c>
      <c r="W10" t="str">
        <v>Sep-2024</v>
      </c>
      <c r="X10">
        <v>11611.060000000001</v>
      </c>
    </row>
    <row r="11" spans="1:24" x14ac:dyDescent="0.3">
      <c r="A11" s="1" t="s">
        <v>35</v>
      </c>
      <c r="B11" s="1" t="s">
        <v>36</v>
      </c>
      <c r="C11" s="1" t="s">
        <v>34</v>
      </c>
      <c r="D11" s="1" t="s">
        <v>15</v>
      </c>
      <c r="E11" s="1">
        <v>737.31</v>
      </c>
      <c r="F11" s="1">
        <v>2</v>
      </c>
      <c r="G11" s="2">
        <v>0.05</v>
      </c>
      <c r="H11" s="3">
        <v>45401</v>
      </c>
      <c r="I11" s="1">
        <v>350.22</v>
      </c>
      <c r="J11" s="8" t="str">
        <f t="shared" si="0"/>
        <v>Apr-2024</v>
      </c>
      <c r="K11" s="8">
        <f t="shared" si="1"/>
        <v>4259.22</v>
      </c>
      <c r="N11" t="str">
        <v>CUST015</v>
      </c>
      <c r="O11" t="str">
        <v>James Wilson</v>
      </c>
      <c r="P11" t="str">
        <v>West</v>
      </c>
      <c r="Q11" t="str">
        <v>Clothing</v>
      </c>
      <c r="R11">
        <v>1923.66</v>
      </c>
      <c r="S11">
        <v>9</v>
      </c>
      <c r="T11">
        <v>0.2</v>
      </c>
      <c r="U11">
        <v>45580</v>
      </c>
      <c r="V11">
        <v>769.46</v>
      </c>
      <c r="W11" t="str">
        <v>Oct-2024</v>
      </c>
      <c r="X11">
        <v>11611.060000000001</v>
      </c>
    </row>
    <row r="12" spans="1:24" x14ac:dyDescent="0.3">
      <c r="A12" s="1" t="s">
        <v>37</v>
      </c>
      <c r="B12" s="1" t="s">
        <v>38</v>
      </c>
      <c r="C12" s="1" t="s">
        <v>11</v>
      </c>
      <c r="D12" s="1" t="s">
        <v>39</v>
      </c>
      <c r="E12" s="1">
        <v>1572.82</v>
      </c>
      <c r="F12" s="1">
        <v>6</v>
      </c>
      <c r="G12" s="2">
        <v>0.05</v>
      </c>
      <c r="H12" s="3">
        <v>45402</v>
      </c>
      <c r="I12" s="1">
        <v>672.38</v>
      </c>
      <c r="J12" s="8" t="str">
        <f t="shared" si="0"/>
        <v>Apr-2024</v>
      </c>
      <c r="K12" s="8">
        <f t="shared" si="1"/>
        <v>6729.8899999999994</v>
      </c>
      <c r="N12" t="str">
        <v>CUST028</v>
      </c>
      <c r="O12" t="str">
        <v>Linda Brown</v>
      </c>
      <c r="P12" t="str">
        <v>South</v>
      </c>
      <c r="Q12" t="str">
        <v>Clothing</v>
      </c>
      <c r="R12">
        <v>1163.01</v>
      </c>
      <c r="S12">
        <v>5</v>
      </c>
      <c r="T12">
        <v>0</v>
      </c>
      <c r="U12">
        <v>45611</v>
      </c>
      <c r="V12">
        <v>581.5</v>
      </c>
      <c r="W12" t="str">
        <v>Nov-2024</v>
      </c>
      <c r="X12">
        <v>10293.870000000001</v>
      </c>
    </row>
    <row r="13" spans="1:24" x14ac:dyDescent="0.3">
      <c r="A13" s="1" t="s">
        <v>37</v>
      </c>
      <c r="B13" s="1" t="s">
        <v>36</v>
      </c>
      <c r="C13" s="1" t="s">
        <v>34</v>
      </c>
      <c r="D13" s="1" t="s">
        <v>12</v>
      </c>
      <c r="E13" s="1">
        <v>1343.13</v>
      </c>
      <c r="F13" s="1">
        <v>14</v>
      </c>
      <c r="G13" s="2">
        <v>0.15</v>
      </c>
      <c r="H13" s="3">
        <v>45404</v>
      </c>
      <c r="I13" s="1">
        <v>456.66</v>
      </c>
      <c r="J13" s="8" t="str">
        <f t="shared" si="0"/>
        <v>Apr-2024</v>
      </c>
      <c r="K13" s="8">
        <f t="shared" si="1"/>
        <v>6729.8899999999994</v>
      </c>
      <c r="N13" t="str">
        <v>CUST015</v>
      </c>
      <c r="O13" t="str">
        <v>David Anderson</v>
      </c>
      <c r="P13" t="str">
        <v>West</v>
      </c>
      <c r="Q13" t="str">
        <v>Furniture</v>
      </c>
      <c r="R13">
        <v>820.19</v>
      </c>
      <c r="S13">
        <v>4</v>
      </c>
      <c r="T13">
        <v>0.2</v>
      </c>
      <c r="U13">
        <v>45630</v>
      </c>
      <c r="V13">
        <v>229.65</v>
      </c>
      <c r="W13" t="str">
        <v>Dec-2024</v>
      </c>
      <c r="X13">
        <v>11611.060000000001</v>
      </c>
    </row>
    <row r="14" spans="1:24" x14ac:dyDescent="0.3">
      <c r="A14" s="1" t="s">
        <v>25</v>
      </c>
      <c r="B14" s="1" t="s">
        <v>26</v>
      </c>
      <c r="C14" s="1" t="s">
        <v>34</v>
      </c>
      <c r="D14" s="1" t="s">
        <v>12</v>
      </c>
      <c r="E14" s="1">
        <v>1191.58</v>
      </c>
      <c r="F14" s="1">
        <v>14</v>
      </c>
      <c r="G14" s="2">
        <v>0.05</v>
      </c>
      <c r="H14" s="3">
        <v>45406</v>
      </c>
      <c r="I14" s="1">
        <v>452.8</v>
      </c>
      <c r="J14" s="8" t="str">
        <f t="shared" si="0"/>
        <v>Apr-2024</v>
      </c>
      <c r="K14" s="8">
        <f t="shared" si="1"/>
        <v>9941.8799999999992</v>
      </c>
      <c r="N14" t="str">
        <v>CUST015</v>
      </c>
      <c r="O14" t="str">
        <v>Emma Davis</v>
      </c>
      <c r="P14" t="str">
        <v>Central</v>
      </c>
      <c r="Q14" t="str">
        <v>Electronics</v>
      </c>
      <c r="R14">
        <v>511.74</v>
      </c>
      <c r="S14">
        <v>8</v>
      </c>
      <c r="T14">
        <v>0.05</v>
      </c>
      <c r="U14">
        <v>45631</v>
      </c>
      <c r="V14">
        <v>121.54</v>
      </c>
      <c r="W14" t="str">
        <v>Dec-2024</v>
      </c>
      <c r="X14">
        <v>11611.060000000001</v>
      </c>
    </row>
    <row r="15" spans="1:24" x14ac:dyDescent="0.3">
      <c r="A15" s="1" t="s">
        <v>40</v>
      </c>
      <c r="B15" s="1" t="s">
        <v>14</v>
      </c>
      <c r="C15" s="1" t="s">
        <v>11</v>
      </c>
      <c r="D15" s="1" t="s">
        <v>27</v>
      </c>
      <c r="E15" s="1">
        <v>822.28</v>
      </c>
      <c r="F15" s="1">
        <v>7</v>
      </c>
      <c r="G15" s="2">
        <v>0.05</v>
      </c>
      <c r="H15" s="3">
        <v>45406</v>
      </c>
      <c r="I15" s="1">
        <v>273.41000000000003</v>
      </c>
      <c r="J15" s="8" t="str">
        <f t="shared" si="0"/>
        <v>Apr-2024</v>
      </c>
      <c r="K15" s="8">
        <f t="shared" si="1"/>
        <v>5913.68</v>
      </c>
      <c r="N15" t="str">
        <v>CUST028</v>
      </c>
      <c r="O15" t="str">
        <v>Lisa Davis</v>
      </c>
      <c r="P15" t="str">
        <v>North</v>
      </c>
      <c r="Q15" t="str">
        <v>Office Supplies</v>
      </c>
      <c r="R15">
        <v>309.42</v>
      </c>
      <c r="S15">
        <v>1</v>
      </c>
      <c r="T15">
        <v>0.2</v>
      </c>
      <c r="U15">
        <v>45658</v>
      </c>
      <c r="V15">
        <v>111.39</v>
      </c>
      <c r="W15" t="str">
        <v>Jan-2025</v>
      </c>
      <c r="X15">
        <v>10293.870000000001</v>
      </c>
    </row>
    <row r="16" spans="1:24" x14ac:dyDescent="0.3">
      <c r="A16" s="1" t="s">
        <v>41</v>
      </c>
      <c r="B16" s="1" t="s">
        <v>42</v>
      </c>
      <c r="C16" s="1" t="s">
        <v>24</v>
      </c>
      <c r="D16" s="1" t="s">
        <v>27</v>
      </c>
      <c r="E16" s="1">
        <v>521.66999999999996</v>
      </c>
      <c r="F16" s="1">
        <v>15</v>
      </c>
      <c r="G16" s="2">
        <v>0.15</v>
      </c>
      <c r="H16" s="3">
        <v>45409</v>
      </c>
      <c r="I16" s="1">
        <v>155.19999999999999</v>
      </c>
      <c r="J16" s="8" t="str">
        <f t="shared" si="0"/>
        <v>Apr-2024</v>
      </c>
      <c r="K16" s="8">
        <f t="shared" si="1"/>
        <v>5779.05</v>
      </c>
      <c r="N16" t="str">
        <v>CUST028</v>
      </c>
      <c r="O16" t="str">
        <v>James Wilson</v>
      </c>
      <c r="P16" t="str">
        <v>Central</v>
      </c>
      <c r="Q16" t="str">
        <v>Office Supplies</v>
      </c>
      <c r="R16">
        <v>745.05</v>
      </c>
      <c r="S16">
        <v>10</v>
      </c>
      <c r="T16">
        <v>0.1</v>
      </c>
      <c r="U16">
        <v>45660</v>
      </c>
      <c r="V16">
        <v>301.75</v>
      </c>
      <c r="W16" t="str">
        <v>Jan-2025</v>
      </c>
      <c r="X16">
        <v>10293.870000000001</v>
      </c>
    </row>
    <row r="17" spans="1:24" x14ac:dyDescent="0.3">
      <c r="A17" s="1" t="s">
        <v>19</v>
      </c>
      <c r="B17" s="1" t="s">
        <v>43</v>
      </c>
      <c r="C17" s="1" t="s">
        <v>20</v>
      </c>
      <c r="D17" s="1" t="s">
        <v>21</v>
      </c>
      <c r="E17" s="1">
        <v>1502.93</v>
      </c>
      <c r="F17" s="1">
        <v>14</v>
      </c>
      <c r="G17" s="2">
        <v>0.2</v>
      </c>
      <c r="H17" s="3">
        <v>45410</v>
      </c>
      <c r="I17" s="1">
        <v>300.58999999999997</v>
      </c>
      <c r="J17" s="8" t="str">
        <f t="shared" si="0"/>
        <v>Apr-2024</v>
      </c>
      <c r="K17" s="8">
        <f t="shared" si="1"/>
        <v>6666.130000000001</v>
      </c>
      <c r="N17" t="str">
        <v>CUST015</v>
      </c>
      <c r="O17" t="str">
        <v>Robert Anderson</v>
      </c>
      <c r="P17" t="str">
        <v>South</v>
      </c>
      <c r="Q17" t="str">
        <v>Furniture</v>
      </c>
      <c r="R17">
        <v>1054.56</v>
      </c>
      <c r="S17">
        <v>11</v>
      </c>
      <c r="T17">
        <v>0.1</v>
      </c>
      <c r="U17">
        <v>45669</v>
      </c>
      <c r="V17">
        <v>332.19</v>
      </c>
      <c r="W17" t="str">
        <v>Jan-2025</v>
      </c>
      <c r="X17">
        <v>11611.060000000001</v>
      </c>
    </row>
    <row r="18" spans="1:24" x14ac:dyDescent="0.3">
      <c r="A18" s="1" t="s">
        <v>44</v>
      </c>
      <c r="B18" s="1" t="s">
        <v>14</v>
      </c>
      <c r="C18" s="1" t="s">
        <v>20</v>
      </c>
      <c r="D18" s="1" t="s">
        <v>12</v>
      </c>
      <c r="E18" s="1">
        <v>877.58</v>
      </c>
      <c r="F18" s="1">
        <v>10</v>
      </c>
      <c r="G18" s="2">
        <v>0.15</v>
      </c>
      <c r="H18" s="3">
        <v>45411</v>
      </c>
      <c r="I18" s="1">
        <v>298.38</v>
      </c>
      <c r="J18" s="8" t="str">
        <f t="shared" si="0"/>
        <v>Apr-2024</v>
      </c>
      <c r="K18" s="8">
        <f t="shared" si="1"/>
        <v>9760.7999999999993</v>
      </c>
      <c r="N18" t="str">
        <v>CUST015</v>
      </c>
      <c r="O18" t="str">
        <v>James Wilson</v>
      </c>
      <c r="P18" t="str">
        <v>North</v>
      </c>
      <c r="Q18" t="str">
        <v>Electronics</v>
      </c>
      <c r="R18">
        <v>1681.21</v>
      </c>
      <c r="S18">
        <v>5</v>
      </c>
      <c r="T18">
        <v>0.2</v>
      </c>
      <c r="U18">
        <v>45670</v>
      </c>
      <c r="V18">
        <v>336.24</v>
      </c>
      <c r="W18" t="str">
        <v>Jan-2025</v>
      </c>
      <c r="X18">
        <v>11611.060000000001</v>
      </c>
    </row>
    <row r="19" spans="1:24" x14ac:dyDescent="0.3">
      <c r="A19" s="1" t="s">
        <v>28</v>
      </c>
      <c r="B19" s="1" t="s">
        <v>45</v>
      </c>
      <c r="C19" s="1" t="s">
        <v>11</v>
      </c>
      <c r="D19" s="1" t="s">
        <v>12</v>
      </c>
      <c r="E19" s="1">
        <v>636.70000000000005</v>
      </c>
      <c r="F19" s="1">
        <v>4</v>
      </c>
      <c r="G19" s="2">
        <v>0.2</v>
      </c>
      <c r="H19" s="3">
        <v>45411</v>
      </c>
      <c r="I19" s="1">
        <v>203.74</v>
      </c>
      <c r="J19" s="8" t="str">
        <f t="shared" si="0"/>
        <v>Apr-2024</v>
      </c>
      <c r="K19" s="8">
        <f t="shared" si="1"/>
        <v>6549.55</v>
      </c>
      <c r="N19" t="str">
        <v>CUST015</v>
      </c>
      <c r="O19" t="str">
        <v>David Thomas</v>
      </c>
      <c r="P19" t="str">
        <v>West</v>
      </c>
      <c r="Q19" t="str">
        <v>Clothing</v>
      </c>
      <c r="R19">
        <v>379.77</v>
      </c>
      <c r="S19">
        <v>9</v>
      </c>
      <c r="T19">
        <v>0.05</v>
      </c>
      <c r="U19">
        <v>45673</v>
      </c>
      <c r="V19">
        <v>180.39</v>
      </c>
      <c r="W19" t="str">
        <v>Jan-2025</v>
      </c>
      <c r="X19">
        <v>11611.060000000001</v>
      </c>
    </row>
    <row r="20" spans="1:24" x14ac:dyDescent="0.3">
      <c r="A20" s="1" t="s">
        <v>46</v>
      </c>
      <c r="B20" s="1" t="s">
        <v>47</v>
      </c>
      <c r="C20" s="1" t="s">
        <v>11</v>
      </c>
      <c r="D20" s="1" t="s">
        <v>12</v>
      </c>
      <c r="E20" s="1">
        <v>1506.14</v>
      </c>
      <c r="F20" s="1">
        <v>13</v>
      </c>
      <c r="G20" s="2">
        <v>0.2</v>
      </c>
      <c r="H20" s="3">
        <v>45412</v>
      </c>
      <c r="I20" s="1">
        <v>481.96</v>
      </c>
      <c r="J20" s="8" t="str">
        <f t="shared" si="0"/>
        <v>Apr-2024</v>
      </c>
      <c r="K20" s="8">
        <f t="shared" si="1"/>
        <v>2699.75</v>
      </c>
      <c r="N20" t="str">
        <v>CUST015</v>
      </c>
      <c r="O20" t="str">
        <v>Lisa Thomas</v>
      </c>
      <c r="P20" t="str">
        <v>East</v>
      </c>
      <c r="Q20" t="str">
        <v>Books</v>
      </c>
      <c r="R20">
        <v>1098.08</v>
      </c>
      <c r="S20">
        <v>9</v>
      </c>
      <c r="T20">
        <v>0.1</v>
      </c>
      <c r="U20">
        <v>45692</v>
      </c>
      <c r="V20">
        <v>395.31</v>
      </c>
      <c r="W20" t="str">
        <v>Feb-2025</v>
      </c>
      <c r="X20">
        <v>11611.060000000001</v>
      </c>
    </row>
    <row r="21" spans="1:24" x14ac:dyDescent="0.3">
      <c r="A21" s="1" t="s">
        <v>30</v>
      </c>
      <c r="B21" s="1" t="s">
        <v>31</v>
      </c>
      <c r="C21" s="1" t="s">
        <v>34</v>
      </c>
      <c r="D21" s="1" t="s">
        <v>21</v>
      </c>
      <c r="E21" s="1">
        <v>645.02</v>
      </c>
      <c r="F21" s="1">
        <v>4</v>
      </c>
      <c r="G21" s="2">
        <v>0</v>
      </c>
      <c r="H21" s="3">
        <v>45414</v>
      </c>
      <c r="I21" s="1">
        <v>161.26</v>
      </c>
      <c r="J21" s="8" t="str">
        <f t="shared" si="0"/>
        <v>May-2024</v>
      </c>
      <c r="K21" s="8">
        <f t="shared" si="1"/>
        <v>9371.81</v>
      </c>
      <c r="N21" t="str">
        <v>CUST028</v>
      </c>
      <c r="O21" t="str">
        <v>James Wilson</v>
      </c>
      <c r="P21" t="str">
        <v>West</v>
      </c>
      <c r="Q21" t="str">
        <v>Electronics</v>
      </c>
      <c r="R21">
        <v>1115.22</v>
      </c>
      <c r="S21">
        <v>14</v>
      </c>
      <c r="T21">
        <v>0.2</v>
      </c>
      <c r="U21">
        <v>45705</v>
      </c>
      <c r="V21">
        <v>223.04</v>
      </c>
      <c r="W21" t="str">
        <v>Feb-2025</v>
      </c>
      <c r="X21">
        <v>10293.870000000001</v>
      </c>
    </row>
    <row r="22" spans="1:24" x14ac:dyDescent="0.3">
      <c r="A22" s="1" t="s">
        <v>25</v>
      </c>
      <c r="B22" s="1" t="s">
        <v>48</v>
      </c>
      <c r="C22" s="1" t="s">
        <v>20</v>
      </c>
      <c r="D22" s="1" t="s">
        <v>15</v>
      </c>
      <c r="E22" s="1">
        <v>953.3</v>
      </c>
      <c r="F22" s="1">
        <v>11</v>
      </c>
      <c r="G22" s="2">
        <v>0</v>
      </c>
      <c r="H22" s="3">
        <v>45415</v>
      </c>
      <c r="I22" s="1">
        <v>476.65</v>
      </c>
      <c r="J22" s="8" t="str">
        <f t="shared" si="0"/>
        <v>May-2024</v>
      </c>
      <c r="K22" s="8">
        <f t="shared" si="1"/>
        <v>9941.8799999999992</v>
      </c>
      <c r="N22" t="str">
        <v>CUST028</v>
      </c>
      <c r="O22" t="str">
        <v>Sarah Davis</v>
      </c>
      <c r="P22" t="str">
        <v>North</v>
      </c>
      <c r="Q22" t="str">
        <v>Books</v>
      </c>
      <c r="R22">
        <v>710.52</v>
      </c>
      <c r="S22">
        <v>8</v>
      </c>
      <c r="T22">
        <v>0.1</v>
      </c>
      <c r="U22">
        <v>45721</v>
      </c>
      <c r="V22">
        <v>255.79</v>
      </c>
      <c r="W22" t="str">
        <v>Mar-2025</v>
      </c>
      <c r="X22">
        <v>10293.870000000001</v>
      </c>
    </row>
    <row r="23" spans="1:24" x14ac:dyDescent="0.3">
      <c r="A23" s="1" t="s">
        <v>49</v>
      </c>
      <c r="B23" s="1" t="s">
        <v>14</v>
      </c>
      <c r="C23" s="1" t="s">
        <v>24</v>
      </c>
      <c r="D23" s="1" t="s">
        <v>21</v>
      </c>
      <c r="E23" s="1">
        <v>388.56</v>
      </c>
      <c r="F23" s="1">
        <v>14</v>
      </c>
      <c r="G23" s="2">
        <v>0.15</v>
      </c>
      <c r="H23" s="3">
        <v>45416</v>
      </c>
      <c r="I23" s="1">
        <v>82.57</v>
      </c>
      <c r="J23" s="8" t="str">
        <f t="shared" si="0"/>
        <v>May-2024</v>
      </c>
      <c r="K23" s="8">
        <f t="shared" si="1"/>
        <v>4418.2800000000007</v>
      </c>
      <c r="N23" t="str">
        <v>CUST028</v>
      </c>
      <c r="O23" t="str">
        <v>Mary Wilson</v>
      </c>
      <c r="P23" t="str">
        <v>North</v>
      </c>
      <c r="Q23" t="str">
        <v>Books</v>
      </c>
      <c r="R23">
        <v>499.18</v>
      </c>
      <c r="S23">
        <v>15</v>
      </c>
      <c r="T23">
        <v>0.2</v>
      </c>
      <c r="U23">
        <v>45724</v>
      </c>
      <c r="V23">
        <v>159.74</v>
      </c>
      <c r="W23" t="str">
        <v>Mar-2025</v>
      </c>
      <c r="X23">
        <v>10293.870000000001</v>
      </c>
    </row>
    <row r="24" spans="1:24" x14ac:dyDescent="0.3">
      <c r="A24" s="1" t="s">
        <v>9</v>
      </c>
      <c r="B24" s="1" t="s">
        <v>31</v>
      </c>
      <c r="C24" s="1" t="s">
        <v>11</v>
      </c>
      <c r="D24" s="1" t="s">
        <v>12</v>
      </c>
      <c r="E24" s="1">
        <v>743.17</v>
      </c>
      <c r="F24" s="1">
        <v>9</v>
      </c>
      <c r="G24" s="2">
        <v>0</v>
      </c>
      <c r="H24" s="3">
        <v>45416</v>
      </c>
      <c r="I24" s="1">
        <v>297.27</v>
      </c>
      <c r="J24" s="8" t="str">
        <f t="shared" si="0"/>
        <v>May-2024</v>
      </c>
      <c r="K24" s="8">
        <f t="shared" si="1"/>
        <v>4640.1099999999997</v>
      </c>
      <c r="N24" t="str">
        <v>CUST028</v>
      </c>
      <c r="O24" t="str">
        <v>Robert Anderson</v>
      </c>
      <c r="P24" t="str">
        <v>South</v>
      </c>
      <c r="Q24" t="str">
        <v>Office Supplies</v>
      </c>
      <c r="R24">
        <v>740.8</v>
      </c>
      <c r="S24">
        <v>3</v>
      </c>
      <c r="T24">
        <v>0</v>
      </c>
      <c r="U24">
        <v>45749</v>
      </c>
      <c r="V24">
        <v>333.36</v>
      </c>
      <c r="W24" t="str">
        <v>Apr-2025</v>
      </c>
      <c r="X24">
        <v>10293.870000000001</v>
      </c>
    </row>
    <row r="25" spans="1:24" x14ac:dyDescent="0.3">
      <c r="A25" s="1" t="s">
        <v>40</v>
      </c>
      <c r="B25" s="1" t="s">
        <v>31</v>
      </c>
      <c r="C25" s="1" t="s">
        <v>34</v>
      </c>
      <c r="D25" s="1" t="s">
        <v>21</v>
      </c>
      <c r="E25" s="1">
        <v>706.37</v>
      </c>
      <c r="F25" s="1">
        <v>6</v>
      </c>
      <c r="G25" s="2">
        <v>0</v>
      </c>
      <c r="H25" s="3">
        <v>45416</v>
      </c>
      <c r="I25" s="1">
        <v>176.59</v>
      </c>
      <c r="J25" s="8" t="str">
        <f t="shared" si="0"/>
        <v>May-2024</v>
      </c>
      <c r="K25" s="8">
        <f t="shared" si="1"/>
        <v>5913.68</v>
      </c>
      <c r="N25" t="str">
        <v>CUST015</v>
      </c>
      <c r="O25" t="str">
        <v>Sarah Anderson</v>
      </c>
      <c r="P25" t="str">
        <v>West</v>
      </c>
      <c r="Q25" t="str">
        <v>Office Supplies</v>
      </c>
      <c r="R25">
        <v>545.44000000000005</v>
      </c>
      <c r="S25">
        <v>17</v>
      </c>
      <c r="T25">
        <v>0</v>
      </c>
      <c r="U25">
        <v>45752</v>
      </c>
      <c r="V25">
        <v>245.45</v>
      </c>
      <c r="W25" t="str">
        <v>Apr-2025</v>
      </c>
      <c r="X25">
        <v>11611.060000000001</v>
      </c>
    </row>
    <row r="26" spans="1:24" x14ac:dyDescent="0.3">
      <c r="A26" s="1" t="s">
        <v>13</v>
      </c>
      <c r="B26" s="1" t="s">
        <v>31</v>
      </c>
      <c r="C26" s="1" t="s">
        <v>34</v>
      </c>
      <c r="D26" s="1" t="s">
        <v>39</v>
      </c>
      <c r="E26" s="1">
        <v>925.31</v>
      </c>
      <c r="F26" s="1">
        <v>8</v>
      </c>
      <c r="G26" s="2">
        <v>0.1</v>
      </c>
      <c r="H26" s="3">
        <v>45418</v>
      </c>
      <c r="I26" s="1">
        <v>374.75</v>
      </c>
      <c r="J26" s="8" t="str">
        <f t="shared" si="0"/>
        <v>May-2024</v>
      </c>
      <c r="K26" s="8">
        <f t="shared" si="1"/>
        <v>8339</v>
      </c>
    </row>
    <row r="27" spans="1:24" ht="15.6" x14ac:dyDescent="0.3">
      <c r="A27" s="1" t="s">
        <v>35</v>
      </c>
      <c r="B27" s="1" t="s">
        <v>50</v>
      </c>
      <c r="C27" s="1" t="s">
        <v>20</v>
      </c>
      <c r="D27" s="1" t="s">
        <v>21</v>
      </c>
      <c r="E27" s="1">
        <v>1173.1199999999999</v>
      </c>
      <c r="F27" s="1">
        <v>18</v>
      </c>
      <c r="G27" s="2">
        <v>0</v>
      </c>
      <c r="H27" s="3">
        <v>45418</v>
      </c>
      <c r="I27" s="1">
        <v>293.27999999999997</v>
      </c>
      <c r="J27" s="8" t="str">
        <f t="shared" si="0"/>
        <v>May-2024</v>
      </c>
      <c r="K27" s="8">
        <f t="shared" si="1"/>
        <v>4259.22</v>
      </c>
      <c r="O27" s="26" t="s">
        <v>144</v>
      </c>
      <c r="P27" s="26"/>
    </row>
    <row r="28" spans="1:24" x14ac:dyDescent="0.3">
      <c r="A28" s="1" t="s">
        <v>22</v>
      </c>
      <c r="B28" s="1" t="s">
        <v>51</v>
      </c>
      <c r="C28" s="1" t="s">
        <v>24</v>
      </c>
      <c r="D28" s="1" t="s">
        <v>27</v>
      </c>
      <c r="E28" s="1">
        <v>675.54</v>
      </c>
      <c r="F28" s="1">
        <v>17</v>
      </c>
      <c r="G28" s="2">
        <v>0</v>
      </c>
      <c r="H28" s="3">
        <v>45420</v>
      </c>
      <c r="I28" s="1">
        <v>236.44</v>
      </c>
      <c r="J28" s="8" t="str">
        <f t="shared" si="0"/>
        <v>May-2024</v>
      </c>
      <c r="K28" s="8">
        <f t="shared" si="1"/>
        <v>7928.71</v>
      </c>
    </row>
    <row r="29" spans="1:24" x14ac:dyDescent="0.3">
      <c r="A29" s="1" t="s">
        <v>25</v>
      </c>
      <c r="B29" s="1" t="s">
        <v>14</v>
      </c>
      <c r="C29" s="1" t="s">
        <v>34</v>
      </c>
      <c r="D29" s="1" t="s">
        <v>12</v>
      </c>
      <c r="E29" s="1">
        <v>939.09</v>
      </c>
      <c r="F29" s="1">
        <v>2</v>
      </c>
      <c r="G29" s="2">
        <v>0.05</v>
      </c>
      <c r="H29" s="3">
        <v>45422</v>
      </c>
      <c r="I29" s="1">
        <v>356.85</v>
      </c>
      <c r="J29" s="8" t="str">
        <f t="shared" si="0"/>
        <v>May-2024</v>
      </c>
      <c r="K29" s="8">
        <f t="shared" si="1"/>
        <v>9941.8799999999992</v>
      </c>
      <c r="N29" s="8" t="s">
        <v>145</v>
      </c>
      <c r="O29" s="8" t="s">
        <v>146</v>
      </c>
      <c r="P29" s="8" t="s">
        <v>76</v>
      </c>
    </row>
    <row r="30" spans="1:24" x14ac:dyDescent="0.3">
      <c r="A30" s="1" t="s">
        <v>52</v>
      </c>
      <c r="B30" s="1" t="s">
        <v>53</v>
      </c>
      <c r="C30" s="1" t="s">
        <v>18</v>
      </c>
      <c r="D30" s="1" t="s">
        <v>39</v>
      </c>
      <c r="E30" s="1">
        <v>983.34</v>
      </c>
      <c r="F30" s="1">
        <v>19</v>
      </c>
      <c r="G30" s="2">
        <v>0.1</v>
      </c>
      <c r="H30" s="3">
        <v>45426</v>
      </c>
      <c r="I30" s="1">
        <v>398.25</v>
      </c>
      <c r="J30" s="8" t="str">
        <f t="shared" si="0"/>
        <v>May-2024</v>
      </c>
      <c r="K30" s="8">
        <f t="shared" si="1"/>
        <v>10293.870000000001</v>
      </c>
      <c r="N30" s="8" t="str">
        <f>INDEX(A:A,MATCH(MAX(K:K),K:K,0))</f>
        <v>CUST015</v>
      </c>
      <c r="O30" s="8" t="str">
        <f>INDEX(B:B,MATCH(MAX(K:K),K:K,0))</f>
        <v>Linda Taylor</v>
      </c>
      <c r="P30" s="8">
        <f>MAX(K:K)</f>
        <v>11611.060000000001</v>
      </c>
    </row>
    <row r="31" spans="1:24" x14ac:dyDescent="0.3">
      <c r="A31" s="1" t="s">
        <v>52</v>
      </c>
      <c r="B31" s="1" t="s">
        <v>23</v>
      </c>
      <c r="C31" s="1" t="s">
        <v>20</v>
      </c>
      <c r="D31" s="1" t="s">
        <v>21</v>
      </c>
      <c r="E31" s="1">
        <v>801.21</v>
      </c>
      <c r="F31" s="1">
        <v>3</v>
      </c>
      <c r="G31" s="2">
        <v>0.2</v>
      </c>
      <c r="H31" s="3">
        <v>45426</v>
      </c>
      <c r="I31" s="1">
        <v>160.24</v>
      </c>
      <c r="J31" s="8" t="str">
        <f t="shared" si="0"/>
        <v>May-2024</v>
      </c>
      <c r="K31" s="8">
        <f t="shared" si="1"/>
        <v>10293.870000000001</v>
      </c>
    </row>
    <row r="32" spans="1:24" x14ac:dyDescent="0.3">
      <c r="A32" s="1" t="s">
        <v>54</v>
      </c>
      <c r="B32" s="1" t="s">
        <v>55</v>
      </c>
      <c r="C32" s="1" t="s">
        <v>24</v>
      </c>
      <c r="D32" s="1" t="s">
        <v>21</v>
      </c>
      <c r="E32" s="1">
        <v>1450.71</v>
      </c>
      <c r="F32" s="1">
        <v>5</v>
      </c>
      <c r="G32" s="2">
        <v>0.1</v>
      </c>
      <c r="H32" s="3">
        <v>45427</v>
      </c>
      <c r="I32" s="1">
        <v>326.41000000000003</v>
      </c>
      <c r="J32" s="8" t="str">
        <f t="shared" si="0"/>
        <v>May-2024</v>
      </c>
      <c r="K32" s="8">
        <f t="shared" si="1"/>
        <v>6716.52</v>
      </c>
    </row>
    <row r="33" spans="1:11" x14ac:dyDescent="0.3">
      <c r="A33" s="1" t="s">
        <v>49</v>
      </c>
      <c r="B33" s="1" t="s">
        <v>56</v>
      </c>
      <c r="C33" s="1" t="s">
        <v>34</v>
      </c>
      <c r="D33" s="1" t="s">
        <v>12</v>
      </c>
      <c r="E33" s="1">
        <v>1023.21</v>
      </c>
      <c r="F33" s="1">
        <v>18</v>
      </c>
      <c r="G33" s="2">
        <v>0.05</v>
      </c>
      <c r="H33" s="3">
        <v>45428</v>
      </c>
      <c r="I33" s="1">
        <v>388.82</v>
      </c>
      <c r="J33" s="8" t="str">
        <f t="shared" si="0"/>
        <v>May-2024</v>
      </c>
      <c r="K33" s="8">
        <f t="shared" si="1"/>
        <v>4418.2800000000007</v>
      </c>
    </row>
    <row r="34" spans="1:11" x14ac:dyDescent="0.3">
      <c r="A34" s="1" t="s">
        <v>28</v>
      </c>
      <c r="B34" s="1" t="s">
        <v>47</v>
      </c>
      <c r="C34" s="1" t="s">
        <v>11</v>
      </c>
      <c r="D34" s="1" t="s">
        <v>27</v>
      </c>
      <c r="E34" s="1">
        <v>853.72</v>
      </c>
      <c r="F34" s="1">
        <v>5</v>
      </c>
      <c r="G34" s="2">
        <v>0.15</v>
      </c>
      <c r="H34" s="3">
        <v>45428</v>
      </c>
      <c r="I34" s="1">
        <v>253.98</v>
      </c>
      <c r="J34" s="8" t="str">
        <f t="shared" si="0"/>
        <v>May-2024</v>
      </c>
      <c r="K34" s="8">
        <f t="shared" si="1"/>
        <v>6549.55</v>
      </c>
    </row>
    <row r="35" spans="1:11" x14ac:dyDescent="0.3">
      <c r="A35" s="1" t="s">
        <v>57</v>
      </c>
      <c r="B35" s="1" t="s">
        <v>43</v>
      </c>
      <c r="C35" s="1" t="s">
        <v>20</v>
      </c>
      <c r="D35" s="1" t="s">
        <v>21</v>
      </c>
      <c r="E35" s="1">
        <v>967.89</v>
      </c>
      <c r="F35" s="1">
        <v>10</v>
      </c>
      <c r="G35" s="2">
        <v>0.1</v>
      </c>
      <c r="H35" s="3">
        <v>45429</v>
      </c>
      <c r="I35" s="1">
        <v>217.78</v>
      </c>
      <c r="J35" s="8" t="str">
        <f t="shared" si="0"/>
        <v>May-2024</v>
      </c>
      <c r="K35" s="8">
        <f t="shared" si="1"/>
        <v>8740.18</v>
      </c>
    </row>
    <row r="36" spans="1:11" x14ac:dyDescent="0.3">
      <c r="A36" s="1" t="s">
        <v>58</v>
      </c>
      <c r="B36" s="1" t="s">
        <v>53</v>
      </c>
      <c r="C36" s="1" t="s">
        <v>24</v>
      </c>
      <c r="D36" s="1" t="s">
        <v>39</v>
      </c>
      <c r="E36" s="1">
        <v>1200.9000000000001</v>
      </c>
      <c r="F36" s="1">
        <v>14</v>
      </c>
      <c r="G36" s="2">
        <v>0.05</v>
      </c>
      <c r="H36" s="3">
        <v>45429</v>
      </c>
      <c r="I36" s="1">
        <v>513.38</v>
      </c>
      <c r="J36" s="8" t="str">
        <f t="shared" si="0"/>
        <v>May-2024</v>
      </c>
      <c r="K36" s="8">
        <f t="shared" si="1"/>
        <v>11611.060000000001</v>
      </c>
    </row>
    <row r="37" spans="1:11" x14ac:dyDescent="0.3">
      <c r="A37" s="1" t="s">
        <v>13</v>
      </c>
      <c r="B37" s="1" t="s">
        <v>26</v>
      </c>
      <c r="C37" s="1" t="s">
        <v>11</v>
      </c>
      <c r="D37" s="1" t="s">
        <v>12</v>
      </c>
      <c r="E37" s="1">
        <v>472.38</v>
      </c>
      <c r="F37" s="1">
        <v>12</v>
      </c>
      <c r="G37" s="2">
        <v>0.2</v>
      </c>
      <c r="H37" s="3">
        <v>45429</v>
      </c>
      <c r="I37" s="1">
        <v>151.16</v>
      </c>
      <c r="J37" s="8" t="str">
        <f t="shared" si="0"/>
        <v>May-2024</v>
      </c>
      <c r="K37" s="8">
        <f t="shared" si="1"/>
        <v>8339</v>
      </c>
    </row>
    <row r="38" spans="1:11" x14ac:dyDescent="0.3">
      <c r="A38" s="1" t="s">
        <v>9</v>
      </c>
      <c r="B38" s="1" t="s">
        <v>55</v>
      </c>
      <c r="C38" s="1" t="s">
        <v>18</v>
      </c>
      <c r="D38" s="1" t="s">
        <v>39</v>
      </c>
      <c r="E38" s="1">
        <v>840.92</v>
      </c>
      <c r="F38" s="1">
        <v>9</v>
      </c>
      <c r="G38" s="2">
        <v>0.05</v>
      </c>
      <c r="H38" s="3">
        <v>45429</v>
      </c>
      <c r="I38" s="1">
        <v>359.49</v>
      </c>
      <c r="J38" s="8" t="str">
        <f t="shared" si="0"/>
        <v>May-2024</v>
      </c>
      <c r="K38" s="8">
        <f t="shared" si="1"/>
        <v>4640.1099999999997</v>
      </c>
    </row>
    <row r="39" spans="1:11" x14ac:dyDescent="0.3">
      <c r="A39" s="1" t="s">
        <v>52</v>
      </c>
      <c r="B39" s="1" t="s">
        <v>48</v>
      </c>
      <c r="C39" s="1" t="s">
        <v>34</v>
      </c>
      <c r="D39" s="1" t="s">
        <v>27</v>
      </c>
      <c r="E39" s="1">
        <v>1410.06</v>
      </c>
      <c r="F39" s="1">
        <v>11</v>
      </c>
      <c r="G39" s="2">
        <v>0.05</v>
      </c>
      <c r="H39" s="3">
        <v>45434</v>
      </c>
      <c r="I39" s="1">
        <v>468.84</v>
      </c>
      <c r="J39" s="8" t="str">
        <f t="shared" si="0"/>
        <v>May-2024</v>
      </c>
      <c r="K39" s="8">
        <f t="shared" si="1"/>
        <v>10293.870000000001</v>
      </c>
    </row>
    <row r="40" spans="1:11" x14ac:dyDescent="0.3">
      <c r="A40" s="1" t="s">
        <v>44</v>
      </c>
      <c r="B40" s="1" t="s">
        <v>59</v>
      </c>
      <c r="C40" s="1" t="s">
        <v>34</v>
      </c>
      <c r="D40" s="1" t="s">
        <v>27</v>
      </c>
      <c r="E40" s="1">
        <v>773.09</v>
      </c>
      <c r="F40" s="1">
        <v>13</v>
      </c>
      <c r="G40" s="2">
        <v>0.15</v>
      </c>
      <c r="H40" s="3">
        <v>45434</v>
      </c>
      <c r="I40" s="1">
        <v>229.99</v>
      </c>
      <c r="J40" s="8" t="str">
        <f t="shared" si="0"/>
        <v>May-2024</v>
      </c>
      <c r="K40" s="8">
        <f t="shared" si="1"/>
        <v>9760.7999999999993</v>
      </c>
    </row>
    <row r="41" spans="1:11" x14ac:dyDescent="0.3">
      <c r="A41" s="1" t="s">
        <v>60</v>
      </c>
      <c r="B41" s="1" t="s">
        <v>61</v>
      </c>
      <c r="C41" s="1" t="s">
        <v>18</v>
      </c>
      <c r="D41" s="1" t="s">
        <v>12</v>
      </c>
      <c r="E41" s="1">
        <v>580.42999999999995</v>
      </c>
      <c r="F41" s="1">
        <v>19</v>
      </c>
      <c r="G41" s="2">
        <v>0.15</v>
      </c>
      <c r="H41" s="3">
        <v>45435</v>
      </c>
      <c r="I41" s="1">
        <v>197.35</v>
      </c>
      <c r="J41" s="8" t="str">
        <f t="shared" si="0"/>
        <v>May-2024</v>
      </c>
      <c r="K41" s="8">
        <f t="shared" si="1"/>
        <v>3369.17</v>
      </c>
    </row>
    <row r="42" spans="1:11" x14ac:dyDescent="0.3">
      <c r="A42" s="1" t="s">
        <v>19</v>
      </c>
      <c r="B42" s="1" t="s">
        <v>42</v>
      </c>
      <c r="C42" s="1" t="s">
        <v>20</v>
      </c>
      <c r="D42" s="1" t="s">
        <v>12</v>
      </c>
      <c r="E42" s="1">
        <v>1151.21</v>
      </c>
      <c r="F42" s="1">
        <v>15</v>
      </c>
      <c r="G42" s="2">
        <v>0.1</v>
      </c>
      <c r="H42" s="3">
        <v>45445</v>
      </c>
      <c r="I42" s="1">
        <v>414.44</v>
      </c>
      <c r="J42" s="8" t="str">
        <f t="shared" si="0"/>
        <v>Jun-2024</v>
      </c>
      <c r="K42" s="8">
        <f t="shared" si="1"/>
        <v>6666.130000000001</v>
      </c>
    </row>
    <row r="43" spans="1:11" x14ac:dyDescent="0.3">
      <c r="A43" s="1" t="s">
        <v>52</v>
      </c>
      <c r="B43" s="1" t="s">
        <v>23</v>
      </c>
      <c r="C43" s="1" t="s">
        <v>34</v>
      </c>
      <c r="D43" s="1" t="s">
        <v>39</v>
      </c>
      <c r="E43" s="1">
        <v>1025.98</v>
      </c>
      <c r="F43" s="1">
        <v>5</v>
      </c>
      <c r="G43" s="2">
        <v>0.2</v>
      </c>
      <c r="H43" s="3">
        <v>45447</v>
      </c>
      <c r="I43" s="1">
        <v>369.35</v>
      </c>
      <c r="J43" s="8" t="str">
        <f t="shared" si="0"/>
        <v>Jun-2024</v>
      </c>
      <c r="K43" s="8">
        <f t="shared" si="1"/>
        <v>10293.870000000001</v>
      </c>
    </row>
    <row r="44" spans="1:11" x14ac:dyDescent="0.3">
      <c r="A44" s="1" t="s">
        <v>40</v>
      </c>
      <c r="B44" s="1" t="s">
        <v>56</v>
      </c>
      <c r="C44" s="1" t="s">
        <v>18</v>
      </c>
      <c r="D44" s="1" t="s">
        <v>39</v>
      </c>
      <c r="E44" s="1">
        <v>556.41999999999996</v>
      </c>
      <c r="F44" s="1">
        <v>11</v>
      </c>
      <c r="G44" s="2">
        <v>0.15</v>
      </c>
      <c r="H44" s="3">
        <v>45447</v>
      </c>
      <c r="I44" s="1">
        <v>212.83</v>
      </c>
      <c r="J44" s="8" t="str">
        <f t="shared" si="0"/>
        <v>Jun-2024</v>
      </c>
      <c r="K44" s="8">
        <f t="shared" si="1"/>
        <v>5913.68</v>
      </c>
    </row>
    <row r="45" spans="1:11" x14ac:dyDescent="0.3">
      <c r="A45" s="1" t="s">
        <v>57</v>
      </c>
      <c r="B45" s="1" t="s">
        <v>23</v>
      </c>
      <c r="C45" s="1" t="s">
        <v>34</v>
      </c>
      <c r="D45" s="1" t="s">
        <v>12</v>
      </c>
      <c r="E45" s="1">
        <v>840.85</v>
      </c>
      <c r="F45" s="1">
        <v>19</v>
      </c>
      <c r="G45" s="2">
        <v>0.1</v>
      </c>
      <c r="H45" s="3">
        <v>45448</v>
      </c>
      <c r="I45" s="1">
        <v>302.70999999999998</v>
      </c>
      <c r="J45" s="8" t="str">
        <f t="shared" si="0"/>
        <v>Jun-2024</v>
      </c>
      <c r="K45" s="8">
        <f t="shared" si="1"/>
        <v>8740.18</v>
      </c>
    </row>
    <row r="46" spans="1:11" x14ac:dyDescent="0.3">
      <c r="A46" s="1" t="s">
        <v>30</v>
      </c>
      <c r="B46" s="1" t="s">
        <v>61</v>
      </c>
      <c r="C46" s="1" t="s">
        <v>24</v>
      </c>
      <c r="D46" s="1" t="s">
        <v>27</v>
      </c>
      <c r="E46" s="1">
        <v>1227.25</v>
      </c>
      <c r="F46" s="1">
        <v>12</v>
      </c>
      <c r="G46" s="2">
        <v>0.15</v>
      </c>
      <c r="H46" s="3">
        <v>45448</v>
      </c>
      <c r="I46" s="1">
        <v>365.11</v>
      </c>
      <c r="J46" s="8" t="str">
        <f t="shared" si="0"/>
        <v>Jun-2024</v>
      </c>
      <c r="K46" s="8">
        <f t="shared" si="1"/>
        <v>9371.81</v>
      </c>
    </row>
    <row r="47" spans="1:11" x14ac:dyDescent="0.3">
      <c r="A47" s="1" t="s">
        <v>16</v>
      </c>
      <c r="B47" s="1" t="s">
        <v>62</v>
      </c>
      <c r="C47" s="1" t="s">
        <v>34</v>
      </c>
      <c r="D47" s="1" t="s">
        <v>21</v>
      </c>
      <c r="E47" s="1">
        <v>856.7</v>
      </c>
      <c r="F47" s="1">
        <v>2</v>
      </c>
      <c r="G47" s="2">
        <v>0</v>
      </c>
      <c r="H47" s="3">
        <v>45449</v>
      </c>
      <c r="I47" s="1">
        <v>214.18</v>
      </c>
      <c r="J47" s="8" t="str">
        <f t="shared" si="0"/>
        <v>Jun-2024</v>
      </c>
      <c r="K47" s="8">
        <f t="shared" si="1"/>
        <v>3419.2</v>
      </c>
    </row>
    <row r="48" spans="1:11" x14ac:dyDescent="0.3">
      <c r="A48" s="1" t="s">
        <v>54</v>
      </c>
      <c r="B48" s="1" t="s">
        <v>56</v>
      </c>
      <c r="C48" s="1" t="s">
        <v>34</v>
      </c>
      <c r="D48" s="1" t="s">
        <v>39</v>
      </c>
      <c r="E48" s="1">
        <v>1225.42</v>
      </c>
      <c r="F48" s="1">
        <v>8</v>
      </c>
      <c r="G48" s="2">
        <v>0.15</v>
      </c>
      <c r="H48" s="3">
        <v>45449</v>
      </c>
      <c r="I48" s="1">
        <v>468.72</v>
      </c>
      <c r="J48" s="8" t="str">
        <f t="shared" si="0"/>
        <v>Jun-2024</v>
      </c>
      <c r="K48" s="8">
        <f t="shared" si="1"/>
        <v>6716.52</v>
      </c>
    </row>
    <row r="49" spans="1:11" x14ac:dyDescent="0.3">
      <c r="A49" s="1" t="s">
        <v>63</v>
      </c>
      <c r="B49" s="1" t="s">
        <v>31</v>
      </c>
      <c r="C49" s="1" t="s">
        <v>24</v>
      </c>
      <c r="D49" s="1" t="s">
        <v>39</v>
      </c>
      <c r="E49" s="1">
        <v>1001.57</v>
      </c>
      <c r="F49" s="1">
        <v>12</v>
      </c>
      <c r="G49" s="2">
        <v>0</v>
      </c>
      <c r="H49" s="3">
        <v>45450</v>
      </c>
      <c r="I49" s="1">
        <v>450.71</v>
      </c>
      <c r="J49" s="8" t="str">
        <f t="shared" si="0"/>
        <v>Jun-2024</v>
      </c>
      <c r="K49" s="8">
        <f t="shared" si="1"/>
        <v>3762.2900000000004</v>
      </c>
    </row>
    <row r="50" spans="1:11" x14ac:dyDescent="0.3">
      <c r="A50" s="1" t="s">
        <v>57</v>
      </c>
      <c r="B50" s="1" t="s">
        <v>26</v>
      </c>
      <c r="C50" s="1" t="s">
        <v>18</v>
      </c>
      <c r="D50" s="1" t="s">
        <v>27</v>
      </c>
      <c r="E50" s="1">
        <v>1186.8499999999999</v>
      </c>
      <c r="F50" s="1">
        <v>19</v>
      </c>
      <c r="G50" s="2">
        <v>0.2</v>
      </c>
      <c r="H50" s="3">
        <v>45451</v>
      </c>
      <c r="I50" s="1">
        <v>332.32</v>
      </c>
      <c r="J50" s="8" t="str">
        <f t="shared" si="0"/>
        <v>Jun-2024</v>
      </c>
      <c r="K50" s="8">
        <f t="shared" si="1"/>
        <v>8740.18</v>
      </c>
    </row>
    <row r="51" spans="1:11" x14ac:dyDescent="0.3">
      <c r="A51" s="1" t="s">
        <v>44</v>
      </c>
      <c r="B51" s="1" t="s">
        <v>51</v>
      </c>
      <c r="C51" s="1" t="s">
        <v>20</v>
      </c>
      <c r="D51" s="1" t="s">
        <v>21</v>
      </c>
      <c r="E51" s="1">
        <v>775.45</v>
      </c>
      <c r="F51" s="1">
        <v>6</v>
      </c>
      <c r="G51" s="2">
        <v>0.1</v>
      </c>
      <c r="H51" s="3">
        <v>45457</v>
      </c>
      <c r="I51" s="1">
        <v>174.48</v>
      </c>
      <c r="J51" s="8" t="str">
        <f t="shared" si="0"/>
        <v>Jun-2024</v>
      </c>
      <c r="K51" s="8">
        <f t="shared" si="1"/>
        <v>9760.7999999999993</v>
      </c>
    </row>
    <row r="52" spans="1:11" x14ac:dyDescent="0.3">
      <c r="A52" s="1" t="s">
        <v>25</v>
      </c>
      <c r="B52" s="1" t="s">
        <v>33</v>
      </c>
      <c r="C52" s="1" t="s">
        <v>20</v>
      </c>
      <c r="D52" s="1" t="s">
        <v>21</v>
      </c>
      <c r="E52" s="1">
        <v>1021.47</v>
      </c>
      <c r="F52" s="1">
        <v>6</v>
      </c>
      <c r="G52" s="2">
        <v>0.05</v>
      </c>
      <c r="H52" s="3">
        <v>45461</v>
      </c>
      <c r="I52" s="1">
        <v>242.6</v>
      </c>
      <c r="J52" s="8" t="str">
        <f t="shared" si="0"/>
        <v>Jun-2024</v>
      </c>
      <c r="K52" s="8">
        <f t="shared" si="1"/>
        <v>9941.8799999999992</v>
      </c>
    </row>
    <row r="53" spans="1:11" x14ac:dyDescent="0.3">
      <c r="A53" s="1" t="s">
        <v>58</v>
      </c>
      <c r="B53" s="1" t="s">
        <v>23</v>
      </c>
      <c r="C53" s="1" t="s">
        <v>20</v>
      </c>
      <c r="D53" s="1" t="s">
        <v>15</v>
      </c>
      <c r="E53" s="1">
        <v>1226.6199999999999</v>
      </c>
      <c r="F53" s="1">
        <v>7</v>
      </c>
      <c r="G53" s="2">
        <v>0.1</v>
      </c>
      <c r="H53" s="3">
        <v>45463</v>
      </c>
      <c r="I53" s="1">
        <v>551.98</v>
      </c>
      <c r="J53" s="8" t="str">
        <f t="shared" si="0"/>
        <v>Jun-2024</v>
      </c>
      <c r="K53" s="8">
        <f t="shared" si="1"/>
        <v>11611.060000000001</v>
      </c>
    </row>
    <row r="54" spans="1:11" x14ac:dyDescent="0.3">
      <c r="A54" s="1" t="s">
        <v>22</v>
      </c>
      <c r="B54" s="1" t="s">
        <v>64</v>
      </c>
      <c r="C54" s="1" t="s">
        <v>20</v>
      </c>
      <c r="D54" s="1" t="s">
        <v>27</v>
      </c>
      <c r="E54" s="1">
        <v>1086.93</v>
      </c>
      <c r="F54" s="1">
        <v>2</v>
      </c>
      <c r="G54" s="2">
        <v>0</v>
      </c>
      <c r="H54" s="3">
        <v>45464</v>
      </c>
      <c r="I54" s="1">
        <v>380.43</v>
      </c>
      <c r="J54" s="8" t="str">
        <f t="shared" si="0"/>
        <v>Jun-2024</v>
      </c>
      <c r="K54" s="8">
        <f t="shared" si="1"/>
        <v>7928.71</v>
      </c>
    </row>
    <row r="55" spans="1:11" x14ac:dyDescent="0.3">
      <c r="A55" s="1" t="s">
        <v>65</v>
      </c>
      <c r="B55" s="1" t="s">
        <v>48</v>
      </c>
      <c r="C55" s="1" t="s">
        <v>11</v>
      </c>
      <c r="D55" s="1" t="s">
        <v>12</v>
      </c>
      <c r="E55" s="1">
        <v>942.9</v>
      </c>
      <c r="F55" s="1">
        <v>18</v>
      </c>
      <c r="G55" s="2">
        <v>0.1</v>
      </c>
      <c r="H55" s="3">
        <v>45466</v>
      </c>
      <c r="I55" s="1">
        <v>339.44</v>
      </c>
      <c r="J55" s="8" t="str">
        <f t="shared" si="0"/>
        <v>Jun-2024</v>
      </c>
      <c r="K55" s="8">
        <f t="shared" si="1"/>
        <v>6481.43</v>
      </c>
    </row>
    <row r="56" spans="1:11" x14ac:dyDescent="0.3">
      <c r="A56" s="1" t="s">
        <v>32</v>
      </c>
      <c r="B56" s="1" t="s">
        <v>38</v>
      </c>
      <c r="C56" s="1" t="s">
        <v>24</v>
      </c>
      <c r="D56" s="1" t="s">
        <v>21</v>
      </c>
      <c r="E56" s="1">
        <v>818.8</v>
      </c>
      <c r="F56" s="1">
        <v>15</v>
      </c>
      <c r="G56" s="2">
        <v>0.15</v>
      </c>
      <c r="H56" s="3">
        <v>45468</v>
      </c>
      <c r="I56" s="1">
        <v>173.99</v>
      </c>
      <c r="J56" s="8" t="str">
        <f t="shared" si="0"/>
        <v>Jun-2024</v>
      </c>
      <c r="K56" s="8">
        <f t="shared" si="1"/>
        <v>6505.2</v>
      </c>
    </row>
    <row r="57" spans="1:11" x14ac:dyDescent="0.3">
      <c r="A57" s="1" t="s">
        <v>19</v>
      </c>
      <c r="B57" s="1" t="s">
        <v>14</v>
      </c>
      <c r="C57" s="1" t="s">
        <v>20</v>
      </c>
      <c r="D57" s="1" t="s">
        <v>27</v>
      </c>
      <c r="E57" s="1">
        <v>919.04</v>
      </c>
      <c r="F57" s="1">
        <v>10</v>
      </c>
      <c r="G57" s="2">
        <v>0.2</v>
      </c>
      <c r="H57" s="3">
        <v>45468</v>
      </c>
      <c r="I57" s="1">
        <v>257.33</v>
      </c>
      <c r="J57" s="8" t="str">
        <f t="shared" si="0"/>
        <v>Jun-2024</v>
      </c>
      <c r="K57" s="8">
        <f t="shared" si="1"/>
        <v>6666.130000000001</v>
      </c>
    </row>
    <row r="58" spans="1:11" x14ac:dyDescent="0.3">
      <c r="A58" s="1" t="s">
        <v>22</v>
      </c>
      <c r="B58" s="1" t="s">
        <v>66</v>
      </c>
      <c r="C58" s="1" t="s">
        <v>34</v>
      </c>
      <c r="D58" s="1" t="s">
        <v>12</v>
      </c>
      <c r="E58" s="1">
        <v>973.26</v>
      </c>
      <c r="F58" s="1">
        <v>11</v>
      </c>
      <c r="G58" s="2">
        <v>0</v>
      </c>
      <c r="H58" s="3">
        <v>45470</v>
      </c>
      <c r="I58" s="1">
        <v>389.3</v>
      </c>
      <c r="J58" s="8" t="str">
        <f t="shared" si="0"/>
        <v>Jun-2024</v>
      </c>
      <c r="K58" s="8">
        <f t="shared" si="1"/>
        <v>7928.71</v>
      </c>
    </row>
    <row r="59" spans="1:11" x14ac:dyDescent="0.3">
      <c r="A59" s="1" t="s">
        <v>41</v>
      </c>
      <c r="B59" s="1" t="s">
        <v>64</v>
      </c>
      <c r="C59" s="1" t="s">
        <v>24</v>
      </c>
      <c r="D59" s="1" t="s">
        <v>21</v>
      </c>
      <c r="E59" s="1">
        <v>741.61</v>
      </c>
      <c r="F59" s="1">
        <v>1</v>
      </c>
      <c r="G59" s="2">
        <v>0.2</v>
      </c>
      <c r="H59" s="3">
        <v>45471</v>
      </c>
      <c r="I59" s="1">
        <v>148.32</v>
      </c>
      <c r="J59" s="8" t="str">
        <f t="shared" si="0"/>
        <v>Jun-2024</v>
      </c>
      <c r="K59" s="8">
        <f t="shared" si="1"/>
        <v>5779.05</v>
      </c>
    </row>
    <row r="60" spans="1:11" x14ac:dyDescent="0.3">
      <c r="A60" s="1" t="s">
        <v>67</v>
      </c>
      <c r="B60" s="1" t="s">
        <v>38</v>
      </c>
      <c r="C60" s="1" t="s">
        <v>24</v>
      </c>
      <c r="D60" s="1" t="s">
        <v>12</v>
      </c>
      <c r="E60" s="1">
        <v>1248.82</v>
      </c>
      <c r="F60" s="1">
        <v>2</v>
      </c>
      <c r="G60" s="2">
        <v>0.1</v>
      </c>
      <c r="H60" s="3">
        <v>45473</v>
      </c>
      <c r="I60" s="1">
        <v>449.58</v>
      </c>
      <c r="J60" s="8" t="str">
        <f t="shared" si="0"/>
        <v>Jun-2024</v>
      </c>
      <c r="K60" s="8">
        <f t="shared" si="1"/>
        <v>8490.18</v>
      </c>
    </row>
    <row r="61" spans="1:11" x14ac:dyDescent="0.3">
      <c r="A61" s="1" t="s">
        <v>13</v>
      </c>
      <c r="B61" s="1" t="s">
        <v>59</v>
      </c>
      <c r="C61" s="1" t="s">
        <v>11</v>
      </c>
      <c r="D61" s="1" t="s">
        <v>15</v>
      </c>
      <c r="E61" s="1">
        <v>1360.36</v>
      </c>
      <c r="F61" s="1">
        <v>17</v>
      </c>
      <c r="G61" s="2">
        <v>0</v>
      </c>
      <c r="H61" s="3">
        <v>45473</v>
      </c>
      <c r="I61" s="1">
        <v>680.18</v>
      </c>
      <c r="J61" s="8" t="str">
        <f t="shared" si="0"/>
        <v>Jun-2024</v>
      </c>
      <c r="K61" s="8">
        <f t="shared" si="1"/>
        <v>8339</v>
      </c>
    </row>
    <row r="62" spans="1:11" x14ac:dyDescent="0.3">
      <c r="A62" s="1" t="s">
        <v>57</v>
      </c>
      <c r="B62" s="1" t="s">
        <v>31</v>
      </c>
      <c r="C62" s="1" t="s">
        <v>18</v>
      </c>
      <c r="D62" s="1" t="s">
        <v>12</v>
      </c>
      <c r="E62" s="1">
        <v>1383.3</v>
      </c>
      <c r="F62" s="1">
        <v>8</v>
      </c>
      <c r="G62" s="2">
        <v>0.1</v>
      </c>
      <c r="H62" s="3">
        <v>45478</v>
      </c>
      <c r="I62" s="1">
        <v>497.99</v>
      </c>
      <c r="J62" s="8" t="str">
        <f t="shared" si="0"/>
        <v>Jul-2024</v>
      </c>
      <c r="K62" s="8">
        <f t="shared" si="1"/>
        <v>8740.18</v>
      </c>
    </row>
    <row r="63" spans="1:11" x14ac:dyDescent="0.3">
      <c r="A63" s="1" t="s">
        <v>35</v>
      </c>
      <c r="B63" s="1" t="s">
        <v>55</v>
      </c>
      <c r="C63" s="1" t="s">
        <v>34</v>
      </c>
      <c r="D63" s="1" t="s">
        <v>39</v>
      </c>
      <c r="E63" s="1">
        <v>488.99</v>
      </c>
      <c r="F63" s="1">
        <v>9</v>
      </c>
      <c r="G63" s="2">
        <v>0</v>
      </c>
      <c r="H63" s="3">
        <v>45479</v>
      </c>
      <c r="I63" s="1">
        <v>220.05</v>
      </c>
      <c r="J63" s="8" t="str">
        <f t="shared" si="0"/>
        <v>Jul-2024</v>
      </c>
      <c r="K63" s="8">
        <f t="shared" si="1"/>
        <v>4259.22</v>
      </c>
    </row>
    <row r="64" spans="1:11" x14ac:dyDescent="0.3">
      <c r="A64" s="1" t="s">
        <v>30</v>
      </c>
      <c r="B64" s="1" t="s">
        <v>31</v>
      </c>
      <c r="C64" s="1" t="s">
        <v>18</v>
      </c>
      <c r="D64" s="1" t="s">
        <v>27</v>
      </c>
      <c r="E64" s="1">
        <v>933.71</v>
      </c>
      <c r="F64" s="1">
        <v>17</v>
      </c>
      <c r="G64" s="2">
        <v>0.1</v>
      </c>
      <c r="H64" s="3">
        <v>45481</v>
      </c>
      <c r="I64" s="1">
        <v>294.12</v>
      </c>
      <c r="J64" s="8" t="str">
        <f t="shared" si="0"/>
        <v>Jul-2024</v>
      </c>
      <c r="K64" s="8">
        <f t="shared" si="1"/>
        <v>9371.81</v>
      </c>
    </row>
    <row r="65" spans="1:11" x14ac:dyDescent="0.3">
      <c r="A65" s="1" t="s">
        <v>67</v>
      </c>
      <c r="B65" s="1" t="s">
        <v>10</v>
      </c>
      <c r="C65" s="1" t="s">
        <v>11</v>
      </c>
      <c r="D65" s="1" t="s">
        <v>21</v>
      </c>
      <c r="E65" s="1">
        <v>1005.53</v>
      </c>
      <c r="F65" s="1">
        <v>17</v>
      </c>
      <c r="G65" s="2">
        <v>0.2</v>
      </c>
      <c r="H65" s="3">
        <v>45481</v>
      </c>
      <c r="I65" s="1">
        <v>201.11</v>
      </c>
      <c r="J65" s="8" t="str">
        <f t="shared" si="0"/>
        <v>Jul-2024</v>
      </c>
      <c r="K65" s="8">
        <f t="shared" si="1"/>
        <v>8490.18</v>
      </c>
    </row>
    <row r="66" spans="1:11" x14ac:dyDescent="0.3">
      <c r="A66" s="1" t="s">
        <v>41</v>
      </c>
      <c r="B66" s="1" t="s">
        <v>61</v>
      </c>
      <c r="C66" s="1" t="s">
        <v>20</v>
      </c>
      <c r="D66" s="1" t="s">
        <v>21</v>
      </c>
      <c r="E66" s="1">
        <v>1100.0999999999999</v>
      </c>
      <c r="F66" s="1">
        <v>5</v>
      </c>
      <c r="G66" s="2">
        <v>0.05</v>
      </c>
      <c r="H66" s="3">
        <v>45482</v>
      </c>
      <c r="I66" s="1">
        <v>261.27</v>
      </c>
      <c r="J66" s="8" t="str">
        <f t="shared" si="0"/>
        <v>Jul-2024</v>
      </c>
      <c r="K66" s="8">
        <f t="shared" si="1"/>
        <v>5779.05</v>
      </c>
    </row>
    <row r="67" spans="1:11" x14ac:dyDescent="0.3">
      <c r="A67" s="1" t="s">
        <v>67</v>
      </c>
      <c r="B67" s="1" t="s">
        <v>23</v>
      </c>
      <c r="C67" s="1" t="s">
        <v>24</v>
      </c>
      <c r="D67" s="1" t="s">
        <v>27</v>
      </c>
      <c r="E67" s="1">
        <v>1034.7</v>
      </c>
      <c r="F67" s="1">
        <v>15</v>
      </c>
      <c r="G67" s="2">
        <v>0.15</v>
      </c>
      <c r="H67" s="3">
        <v>45487</v>
      </c>
      <c r="I67" s="1">
        <v>307.82</v>
      </c>
      <c r="J67" s="8" t="str">
        <f t="shared" ref="J67:J130" si="2">TEXT(H67,"mmm-yyy")</f>
        <v>Jul-2024</v>
      </c>
      <c r="K67" s="8">
        <f t="shared" ref="K67:K130" si="3">SUMIFS($E:$E,$A:$A,A67)</f>
        <v>8490.18</v>
      </c>
    </row>
    <row r="68" spans="1:11" x14ac:dyDescent="0.3">
      <c r="A68" s="1" t="s">
        <v>65</v>
      </c>
      <c r="B68" s="1" t="s">
        <v>31</v>
      </c>
      <c r="C68" s="1" t="s">
        <v>20</v>
      </c>
      <c r="D68" s="1" t="s">
        <v>12</v>
      </c>
      <c r="E68" s="1">
        <v>876.44</v>
      </c>
      <c r="F68" s="1">
        <v>12</v>
      </c>
      <c r="G68" s="2">
        <v>0.05</v>
      </c>
      <c r="H68" s="3">
        <v>45488</v>
      </c>
      <c r="I68" s="1">
        <v>333.05</v>
      </c>
      <c r="J68" s="8" t="str">
        <f t="shared" si="2"/>
        <v>Jul-2024</v>
      </c>
      <c r="K68" s="8">
        <f t="shared" si="3"/>
        <v>6481.43</v>
      </c>
    </row>
    <row r="69" spans="1:11" x14ac:dyDescent="0.3">
      <c r="A69" s="1" t="s">
        <v>68</v>
      </c>
      <c r="B69" s="1" t="s">
        <v>55</v>
      </c>
      <c r="C69" s="1" t="s">
        <v>11</v>
      </c>
      <c r="D69" s="1" t="s">
        <v>27</v>
      </c>
      <c r="E69" s="1">
        <v>1371.34</v>
      </c>
      <c r="F69" s="1">
        <v>5</v>
      </c>
      <c r="G69" s="2">
        <v>0.05</v>
      </c>
      <c r="H69" s="3">
        <v>45488</v>
      </c>
      <c r="I69" s="1">
        <v>455.97</v>
      </c>
      <c r="J69" s="8" t="str">
        <f t="shared" si="2"/>
        <v>Jul-2024</v>
      </c>
      <c r="K69" s="8">
        <f t="shared" si="3"/>
        <v>4413.71</v>
      </c>
    </row>
    <row r="70" spans="1:11" x14ac:dyDescent="0.3">
      <c r="A70" s="1" t="s">
        <v>57</v>
      </c>
      <c r="B70" s="1" t="s">
        <v>47</v>
      </c>
      <c r="C70" s="1" t="s">
        <v>24</v>
      </c>
      <c r="D70" s="1" t="s">
        <v>21</v>
      </c>
      <c r="E70" s="1">
        <v>1020.26</v>
      </c>
      <c r="F70" s="1">
        <v>11</v>
      </c>
      <c r="G70" s="2">
        <v>0.05</v>
      </c>
      <c r="H70" s="3">
        <v>45494</v>
      </c>
      <c r="I70" s="1">
        <v>242.31</v>
      </c>
      <c r="J70" s="8" t="str">
        <f t="shared" si="2"/>
        <v>Jul-2024</v>
      </c>
      <c r="K70" s="8">
        <f t="shared" si="3"/>
        <v>8740.18</v>
      </c>
    </row>
    <row r="71" spans="1:11" x14ac:dyDescent="0.3">
      <c r="A71" s="1" t="s">
        <v>44</v>
      </c>
      <c r="B71" s="1" t="s">
        <v>10</v>
      </c>
      <c r="C71" s="1" t="s">
        <v>34</v>
      </c>
      <c r="D71" s="1" t="s">
        <v>39</v>
      </c>
      <c r="E71" s="1">
        <v>804.81</v>
      </c>
      <c r="F71" s="1">
        <v>1</v>
      </c>
      <c r="G71" s="2">
        <v>0.05</v>
      </c>
      <c r="H71" s="3">
        <v>45502</v>
      </c>
      <c r="I71" s="1">
        <v>344.06</v>
      </c>
      <c r="J71" s="8" t="str">
        <f t="shared" si="2"/>
        <v>Jul-2024</v>
      </c>
      <c r="K71" s="8">
        <f t="shared" si="3"/>
        <v>9760.7999999999993</v>
      </c>
    </row>
    <row r="72" spans="1:11" x14ac:dyDescent="0.3">
      <c r="A72" s="1" t="s">
        <v>22</v>
      </c>
      <c r="B72" s="1" t="s">
        <v>55</v>
      </c>
      <c r="C72" s="1" t="s">
        <v>34</v>
      </c>
      <c r="D72" s="1" t="s">
        <v>21</v>
      </c>
      <c r="E72" s="1">
        <v>608.66</v>
      </c>
      <c r="F72" s="1">
        <v>1</v>
      </c>
      <c r="G72" s="2">
        <v>0.05</v>
      </c>
      <c r="H72" s="3">
        <v>45503</v>
      </c>
      <c r="I72" s="1">
        <v>144.56</v>
      </c>
      <c r="J72" s="8" t="str">
        <f t="shared" si="2"/>
        <v>Jul-2024</v>
      </c>
      <c r="K72" s="8">
        <f t="shared" si="3"/>
        <v>7928.71</v>
      </c>
    </row>
    <row r="73" spans="1:11" x14ac:dyDescent="0.3">
      <c r="A73" s="1" t="s">
        <v>68</v>
      </c>
      <c r="B73" s="1" t="s">
        <v>69</v>
      </c>
      <c r="C73" s="1" t="s">
        <v>20</v>
      </c>
      <c r="D73" s="1" t="s">
        <v>39</v>
      </c>
      <c r="E73" s="1">
        <v>981.2</v>
      </c>
      <c r="F73" s="1">
        <v>19</v>
      </c>
      <c r="G73" s="2">
        <v>0</v>
      </c>
      <c r="H73" s="3">
        <v>45504</v>
      </c>
      <c r="I73" s="1">
        <v>441.54</v>
      </c>
      <c r="J73" s="8" t="str">
        <f t="shared" si="2"/>
        <v>Jul-2024</v>
      </c>
      <c r="K73" s="8">
        <f t="shared" si="3"/>
        <v>4413.71</v>
      </c>
    </row>
    <row r="74" spans="1:11" x14ac:dyDescent="0.3">
      <c r="A74" s="1" t="s">
        <v>70</v>
      </c>
      <c r="B74" s="1" t="s">
        <v>55</v>
      </c>
      <c r="C74" s="1" t="s">
        <v>18</v>
      </c>
      <c r="D74" s="1" t="s">
        <v>21</v>
      </c>
      <c r="E74" s="1">
        <v>539.77</v>
      </c>
      <c r="F74" s="1">
        <v>10</v>
      </c>
      <c r="G74" s="2">
        <v>0.15</v>
      </c>
      <c r="H74" s="3">
        <v>45509</v>
      </c>
      <c r="I74" s="1">
        <v>114.7</v>
      </c>
      <c r="J74" s="8" t="str">
        <f t="shared" si="2"/>
        <v>Aug-2024</v>
      </c>
      <c r="K74" s="8">
        <f t="shared" si="3"/>
        <v>7583.1299999999992</v>
      </c>
    </row>
    <row r="75" spans="1:11" x14ac:dyDescent="0.3">
      <c r="A75" s="1" t="s">
        <v>13</v>
      </c>
      <c r="B75" s="1" t="s">
        <v>71</v>
      </c>
      <c r="C75" s="1" t="s">
        <v>20</v>
      </c>
      <c r="D75" s="1" t="s">
        <v>12</v>
      </c>
      <c r="E75" s="1">
        <v>804.45</v>
      </c>
      <c r="F75" s="1">
        <v>5</v>
      </c>
      <c r="G75" s="2">
        <v>0.2</v>
      </c>
      <c r="H75" s="3">
        <v>45509</v>
      </c>
      <c r="I75" s="1">
        <v>257.42</v>
      </c>
      <c r="J75" s="8" t="str">
        <f t="shared" si="2"/>
        <v>Aug-2024</v>
      </c>
      <c r="K75" s="8">
        <f t="shared" si="3"/>
        <v>8339</v>
      </c>
    </row>
    <row r="76" spans="1:11" x14ac:dyDescent="0.3">
      <c r="A76" s="1" t="s">
        <v>70</v>
      </c>
      <c r="B76" s="1" t="s">
        <v>38</v>
      </c>
      <c r="C76" s="1" t="s">
        <v>11</v>
      </c>
      <c r="D76" s="1" t="s">
        <v>21</v>
      </c>
      <c r="E76" s="1">
        <v>1526.6</v>
      </c>
      <c r="F76" s="1">
        <v>13</v>
      </c>
      <c r="G76" s="2">
        <v>0.2</v>
      </c>
      <c r="H76" s="3">
        <v>45512</v>
      </c>
      <c r="I76" s="1">
        <v>305.32</v>
      </c>
      <c r="J76" s="8" t="str">
        <f t="shared" si="2"/>
        <v>Aug-2024</v>
      </c>
      <c r="K76" s="8">
        <f t="shared" si="3"/>
        <v>7583.1299999999992</v>
      </c>
    </row>
    <row r="77" spans="1:11" x14ac:dyDescent="0.3">
      <c r="A77" s="1" t="s">
        <v>13</v>
      </c>
      <c r="B77" s="1" t="s">
        <v>29</v>
      </c>
      <c r="C77" s="1" t="s">
        <v>11</v>
      </c>
      <c r="D77" s="1" t="s">
        <v>21</v>
      </c>
      <c r="E77" s="1">
        <v>1215.26</v>
      </c>
      <c r="F77" s="1">
        <v>5</v>
      </c>
      <c r="G77" s="2">
        <v>0.15</v>
      </c>
      <c r="H77" s="3">
        <v>45513</v>
      </c>
      <c r="I77" s="1">
        <v>258.24</v>
      </c>
      <c r="J77" s="8" t="str">
        <f t="shared" si="2"/>
        <v>Aug-2024</v>
      </c>
      <c r="K77" s="8">
        <f t="shared" si="3"/>
        <v>8339</v>
      </c>
    </row>
    <row r="78" spans="1:11" x14ac:dyDescent="0.3">
      <c r="A78" s="1" t="s">
        <v>19</v>
      </c>
      <c r="B78" s="1" t="s">
        <v>53</v>
      </c>
      <c r="C78" s="1" t="s">
        <v>34</v>
      </c>
      <c r="D78" s="1" t="s">
        <v>27</v>
      </c>
      <c r="E78" s="1">
        <v>1261.3399999999999</v>
      </c>
      <c r="F78" s="1">
        <v>3</v>
      </c>
      <c r="G78" s="2">
        <v>0</v>
      </c>
      <c r="H78" s="3">
        <v>45519</v>
      </c>
      <c r="I78" s="1">
        <v>441.47</v>
      </c>
      <c r="J78" s="8" t="str">
        <f t="shared" si="2"/>
        <v>Aug-2024</v>
      </c>
      <c r="K78" s="8">
        <f t="shared" si="3"/>
        <v>6666.130000000001</v>
      </c>
    </row>
    <row r="79" spans="1:11" x14ac:dyDescent="0.3">
      <c r="A79" s="1" t="s">
        <v>72</v>
      </c>
      <c r="B79" s="1" t="s">
        <v>45</v>
      </c>
      <c r="C79" s="1" t="s">
        <v>24</v>
      </c>
      <c r="D79" s="1" t="s">
        <v>27</v>
      </c>
      <c r="E79" s="1">
        <v>518.07000000000005</v>
      </c>
      <c r="F79" s="1">
        <v>7</v>
      </c>
      <c r="G79" s="2">
        <v>0.05</v>
      </c>
      <c r="H79" s="3">
        <v>45522</v>
      </c>
      <c r="I79" s="1">
        <v>172.26</v>
      </c>
      <c r="J79" s="8" t="str">
        <f t="shared" si="2"/>
        <v>Aug-2024</v>
      </c>
      <c r="K79" s="8">
        <f t="shared" si="3"/>
        <v>7813.59</v>
      </c>
    </row>
    <row r="80" spans="1:11" x14ac:dyDescent="0.3">
      <c r="A80" s="1" t="s">
        <v>30</v>
      </c>
      <c r="B80" s="1" t="s">
        <v>29</v>
      </c>
      <c r="C80" s="1" t="s">
        <v>11</v>
      </c>
      <c r="D80" s="1" t="s">
        <v>39</v>
      </c>
      <c r="E80" s="1">
        <v>1111.3399999999999</v>
      </c>
      <c r="F80" s="1">
        <v>1</v>
      </c>
      <c r="G80" s="2">
        <v>0</v>
      </c>
      <c r="H80" s="3">
        <v>45523</v>
      </c>
      <c r="I80" s="1">
        <v>500.1</v>
      </c>
      <c r="J80" s="8" t="str">
        <f t="shared" si="2"/>
        <v>Aug-2024</v>
      </c>
      <c r="K80" s="8">
        <f t="shared" si="3"/>
        <v>9371.81</v>
      </c>
    </row>
    <row r="81" spans="1:11" x14ac:dyDescent="0.3">
      <c r="A81" s="1" t="s">
        <v>22</v>
      </c>
      <c r="B81" s="1" t="s">
        <v>31</v>
      </c>
      <c r="C81" s="1" t="s">
        <v>18</v>
      </c>
      <c r="D81" s="1" t="s">
        <v>15</v>
      </c>
      <c r="E81" s="1">
        <v>1291.47</v>
      </c>
      <c r="F81" s="1">
        <v>18</v>
      </c>
      <c r="G81" s="2">
        <v>0.1</v>
      </c>
      <c r="H81" s="3">
        <v>45526</v>
      </c>
      <c r="I81" s="1">
        <v>581.16</v>
      </c>
      <c r="J81" s="8" t="str">
        <f t="shared" si="2"/>
        <v>Aug-2024</v>
      </c>
      <c r="K81" s="8">
        <f t="shared" si="3"/>
        <v>7928.71</v>
      </c>
    </row>
    <row r="82" spans="1:11" x14ac:dyDescent="0.3">
      <c r="A82" s="1" t="s">
        <v>25</v>
      </c>
      <c r="B82" s="1" t="s">
        <v>55</v>
      </c>
      <c r="C82" s="1" t="s">
        <v>24</v>
      </c>
      <c r="D82" s="1" t="s">
        <v>12</v>
      </c>
      <c r="E82" s="1">
        <v>679.71</v>
      </c>
      <c r="F82" s="1">
        <v>19</v>
      </c>
      <c r="G82" s="2">
        <v>0</v>
      </c>
      <c r="H82" s="3">
        <v>45534</v>
      </c>
      <c r="I82" s="1">
        <v>271.88</v>
      </c>
      <c r="J82" s="8" t="str">
        <f t="shared" si="2"/>
        <v>Aug-2024</v>
      </c>
      <c r="K82" s="8">
        <f t="shared" si="3"/>
        <v>9941.8799999999992</v>
      </c>
    </row>
    <row r="83" spans="1:11" x14ac:dyDescent="0.3">
      <c r="A83" s="1" t="s">
        <v>68</v>
      </c>
      <c r="B83" s="1" t="s">
        <v>33</v>
      </c>
      <c r="C83" s="1" t="s">
        <v>18</v>
      </c>
      <c r="D83" s="1" t="s">
        <v>27</v>
      </c>
      <c r="E83" s="1">
        <v>1143.69</v>
      </c>
      <c r="F83" s="1">
        <v>17</v>
      </c>
      <c r="G83" s="2">
        <v>0</v>
      </c>
      <c r="H83" s="3">
        <v>45534</v>
      </c>
      <c r="I83" s="1">
        <v>400.29</v>
      </c>
      <c r="J83" s="8" t="str">
        <f t="shared" si="2"/>
        <v>Aug-2024</v>
      </c>
      <c r="K83" s="8">
        <f t="shared" si="3"/>
        <v>4413.71</v>
      </c>
    </row>
    <row r="84" spans="1:11" x14ac:dyDescent="0.3">
      <c r="A84" s="1" t="s">
        <v>52</v>
      </c>
      <c r="B84" s="1" t="s">
        <v>50</v>
      </c>
      <c r="C84" s="1" t="s">
        <v>34</v>
      </c>
      <c r="D84" s="1" t="s">
        <v>21</v>
      </c>
      <c r="E84" s="1">
        <v>790.08</v>
      </c>
      <c r="F84" s="1">
        <v>7</v>
      </c>
      <c r="G84" s="2">
        <v>0.1</v>
      </c>
      <c r="H84" s="3">
        <v>45536</v>
      </c>
      <c r="I84" s="1">
        <v>177.77</v>
      </c>
      <c r="J84" s="8" t="str">
        <f t="shared" si="2"/>
        <v>Sep-2024</v>
      </c>
      <c r="K84" s="8">
        <f t="shared" si="3"/>
        <v>10293.870000000001</v>
      </c>
    </row>
    <row r="85" spans="1:11" x14ac:dyDescent="0.3">
      <c r="A85" s="1" t="s">
        <v>19</v>
      </c>
      <c r="B85" s="1" t="s">
        <v>48</v>
      </c>
      <c r="C85" s="1" t="s">
        <v>34</v>
      </c>
      <c r="D85" s="1" t="s">
        <v>12</v>
      </c>
      <c r="E85" s="1">
        <v>1070.68</v>
      </c>
      <c r="F85" s="1">
        <v>7</v>
      </c>
      <c r="G85" s="2">
        <v>0.05</v>
      </c>
      <c r="H85" s="3">
        <v>45536</v>
      </c>
      <c r="I85" s="1">
        <v>406.86</v>
      </c>
      <c r="J85" s="8" t="str">
        <f t="shared" si="2"/>
        <v>Sep-2024</v>
      </c>
      <c r="K85" s="8">
        <f t="shared" si="3"/>
        <v>6666.130000000001</v>
      </c>
    </row>
    <row r="86" spans="1:11" x14ac:dyDescent="0.3">
      <c r="A86" s="1" t="s">
        <v>58</v>
      </c>
      <c r="B86" s="1" t="s">
        <v>36</v>
      </c>
      <c r="C86" s="1" t="s">
        <v>11</v>
      </c>
      <c r="D86" s="1" t="s">
        <v>15</v>
      </c>
      <c r="E86" s="1">
        <v>1168.8900000000001</v>
      </c>
      <c r="F86" s="1">
        <v>4</v>
      </c>
      <c r="G86" s="2">
        <v>0.1</v>
      </c>
      <c r="H86" s="3">
        <v>45544</v>
      </c>
      <c r="I86" s="1">
        <v>526</v>
      </c>
      <c r="J86" s="8" t="str">
        <f t="shared" si="2"/>
        <v>Sep-2024</v>
      </c>
      <c r="K86" s="8">
        <f t="shared" si="3"/>
        <v>11611.060000000001</v>
      </c>
    </row>
    <row r="87" spans="1:11" x14ac:dyDescent="0.3">
      <c r="A87" s="1" t="s">
        <v>67</v>
      </c>
      <c r="B87" s="1" t="s">
        <v>10</v>
      </c>
      <c r="C87" s="1" t="s">
        <v>20</v>
      </c>
      <c r="D87" s="1" t="s">
        <v>21</v>
      </c>
      <c r="E87" s="1">
        <v>1335.87</v>
      </c>
      <c r="F87" s="1">
        <v>17</v>
      </c>
      <c r="G87" s="2">
        <v>0</v>
      </c>
      <c r="H87" s="3">
        <v>45544</v>
      </c>
      <c r="I87" s="1">
        <v>333.97</v>
      </c>
      <c r="J87" s="8" t="str">
        <f t="shared" si="2"/>
        <v>Sep-2024</v>
      </c>
      <c r="K87" s="8">
        <f t="shared" si="3"/>
        <v>8490.18</v>
      </c>
    </row>
    <row r="88" spans="1:11" x14ac:dyDescent="0.3">
      <c r="A88" s="1" t="s">
        <v>40</v>
      </c>
      <c r="B88" s="1" t="s">
        <v>55</v>
      </c>
      <c r="C88" s="1" t="s">
        <v>18</v>
      </c>
      <c r="D88" s="1" t="s">
        <v>27</v>
      </c>
      <c r="E88" s="1">
        <v>873.7</v>
      </c>
      <c r="F88" s="1">
        <v>9</v>
      </c>
      <c r="G88" s="2">
        <v>0</v>
      </c>
      <c r="H88" s="3">
        <v>45546</v>
      </c>
      <c r="I88" s="1">
        <v>305.8</v>
      </c>
      <c r="J88" s="8" t="str">
        <f t="shared" si="2"/>
        <v>Sep-2024</v>
      </c>
      <c r="K88" s="8">
        <f t="shared" si="3"/>
        <v>5913.68</v>
      </c>
    </row>
    <row r="89" spans="1:11" x14ac:dyDescent="0.3">
      <c r="A89" s="1" t="s">
        <v>72</v>
      </c>
      <c r="B89" s="1" t="s">
        <v>64</v>
      </c>
      <c r="C89" s="1" t="s">
        <v>11</v>
      </c>
      <c r="D89" s="1" t="s">
        <v>39</v>
      </c>
      <c r="E89" s="1">
        <v>1443.98</v>
      </c>
      <c r="F89" s="1">
        <v>19</v>
      </c>
      <c r="G89" s="2">
        <v>0</v>
      </c>
      <c r="H89" s="3">
        <v>45547</v>
      </c>
      <c r="I89" s="1">
        <v>649.79</v>
      </c>
      <c r="J89" s="8" t="str">
        <f t="shared" si="2"/>
        <v>Sep-2024</v>
      </c>
      <c r="K89" s="8">
        <f t="shared" si="3"/>
        <v>7813.59</v>
      </c>
    </row>
    <row r="90" spans="1:11" x14ac:dyDescent="0.3">
      <c r="A90" s="1" t="s">
        <v>40</v>
      </c>
      <c r="B90" s="1" t="s">
        <v>23</v>
      </c>
      <c r="C90" s="1" t="s">
        <v>18</v>
      </c>
      <c r="D90" s="1" t="s">
        <v>39</v>
      </c>
      <c r="E90" s="1">
        <v>1154.33</v>
      </c>
      <c r="F90" s="1">
        <v>11</v>
      </c>
      <c r="G90" s="2">
        <v>0.15</v>
      </c>
      <c r="H90" s="3">
        <v>45549</v>
      </c>
      <c r="I90" s="1">
        <v>441.53</v>
      </c>
      <c r="J90" s="8" t="str">
        <f t="shared" si="2"/>
        <v>Sep-2024</v>
      </c>
      <c r="K90" s="8">
        <f t="shared" si="3"/>
        <v>5913.68</v>
      </c>
    </row>
    <row r="91" spans="1:11" x14ac:dyDescent="0.3">
      <c r="A91" s="1" t="s">
        <v>49</v>
      </c>
      <c r="B91" s="1" t="s">
        <v>50</v>
      </c>
      <c r="C91" s="1" t="s">
        <v>20</v>
      </c>
      <c r="D91" s="1" t="s">
        <v>12</v>
      </c>
      <c r="E91" s="1">
        <v>1264.49</v>
      </c>
      <c r="F91" s="1">
        <v>16</v>
      </c>
      <c r="G91" s="2">
        <v>0.05</v>
      </c>
      <c r="H91" s="3">
        <v>45549</v>
      </c>
      <c r="I91" s="1">
        <v>480.51</v>
      </c>
      <c r="J91" s="8" t="str">
        <f t="shared" si="2"/>
        <v>Sep-2024</v>
      </c>
      <c r="K91" s="8">
        <f t="shared" si="3"/>
        <v>4418.2800000000007</v>
      </c>
    </row>
    <row r="92" spans="1:11" x14ac:dyDescent="0.3">
      <c r="A92" s="1" t="s">
        <v>25</v>
      </c>
      <c r="B92" s="1" t="s">
        <v>66</v>
      </c>
      <c r="C92" s="1" t="s">
        <v>11</v>
      </c>
      <c r="D92" s="1" t="s">
        <v>27</v>
      </c>
      <c r="E92" s="1">
        <v>1101.55</v>
      </c>
      <c r="F92" s="1">
        <v>4</v>
      </c>
      <c r="G92" s="2">
        <v>0.1</v>
      </c>
      <c r="H92" s="3">
        <v>45551</v>
      </c>
      <c r="I92" s="1">
        <v>346.99</v>
      </c>
      <c r="J92" s="8" t="str">
        <f t="shared" si="2"/>
        <v>Sep-2024</v>
      </c>
      <c r="K92" s="8">
        <f t="shared" si="3"/>
        <v>9941.8799999999992</v>
      </c>
    </row>
    <row r="93" spans="1:11" x14ac:dyDescent="0.3">
      <c r="A93" s="1" t="s">
        <v>73</v>
      </c>
      <c r="B93" s="1" t="s">
        <v>14</v>
      </c>
      <c r="C93" s="1" t="s">
        <v>20</v>
      </c>
      <c r="D93" s="1" t="s">
        <v>27</v>
      </c>
      <c r="E93" s="1">
        <v>727.73</v>
      </c>
      <c r="F93" s="1">
        <v>1</v>
      </c>
      <c r="G93" s="2">
        <v>0.1</v>
      </c>
      <c r="H93" s="3">
        <v>45552</v>
      </c>
      <c r="I93" s="1">
        <v>229.23</v>
      </c>
      <c r="J93" s="8" t="str">
        <f t="shared" si="2"/>
        <v>Sep-2024</v>
      </c>
      <c r="K93" s="8">
        <f t="shared" si="3"/>
        <v>4162.4400000000005</v>
      </c>
    </row>
    <row r="94" spans="1:11" x14ac:dyDescent="0.3">
      <c r="A94" s="1" t="s">
        <v>74</v>
      </c>
      <c r="B94" s="1" t="s">
        <v>38</v>
      </c>
      <c r="C94" s="1" t="s">
        <v>18</v>
      </c>
      <c r="D94" s="1" t="s">
        <v>39</v>
      </c>
      <c r="E94" s="1">
        <v>875.41</v>
      </c>
      <c r="F94" s="1">
        <v>13</v>
      </c>
      <c r="G94" s="2">
        <v>0.15</v>
      </c>
      <c r="H94" s="3">
        <v>45552</v>
      </c>
      <c r="I94" s="1">
        <v>334.84</v>
      </c>
      <c r="J94" s="8" t="str">
        <f t="shared" si="2"/>
        <v>Sep-2024</v>
      </c>
      <c r="K94" s="8">
        <f t="shared" si="3"/>
        <v>3906.04</v>
      </c>
    </row>
    <row r="95" spans="1:11" x14ac:dyDescent="0.3">
      <c r="A95" s="1" t="s">
        <v>67</v>
      </c>
      <c r="B95" s="1" t="s">
        <v>23</v>
      </c>
      <c r="C95" s="1" t="s">
        <v>11</v>
      </c>
      <c r="D95" s="1" t="s">
        <v>21</v>
      </c>
      <c r="E95" s="1">
        <v>1158.94</v>
      </c>
      <c r="F95" s="1">
        <v>19</v>
      </c>
      <c r="G95" s="2">
        <v>0.2</v>
      </c>
      <c r="H95" s="3">
        <v>45553</v>
      </c>
      <c r="I95" s="1">
        <v>231.79</v>
      </c>
      <c r="J95" s="8" t="str">
        <f t="shared" si="2"/>
        <v>Sep-2024</v>
      </c>
      <c r="K95" s="8">
        <f t="shared" si="3"/>
        <v>8490.18</v>
      </c>
    </row>
    <row r="96" spans="1:11" x14ac:dyDescent="0.3">
      <c r="A96" s="1" t="s">
        <v>75</v>
      </c>
      <c r="B96" s="1" t="s">
        <v>47</v>
      </c>
      <c r="C96" s="1" t="s">
        <v>20</v>
      </c>
      <c r="D96" s="1" t="s">
        <v>12</v>
      </c>
      <c r="E96" s="1">
        <v>966.3</v>
      </c>
      <c r="F96" s="1">
        <v>2</v>
      </c>
      <c r="G96" s="2">
        <v>0.15</v>
      </c>
      <c r="H96" s="3">
        <v>45557</v>
      </c>
      <c r="I96" s="1">
        <v>328.54</v>
      </c>
      <c r="J96" s="8" t="str">
        <f t="shared" si="2"/>
        <v>Sep-2024</v>
      </c>
      <c r="K96" s="8">
        <f t="shared" si="3"/>
        <v>4951.8899999999994</v>
      </c>
    </row>
    <row r="97" spans="1:11" x14ac:dyDescent="0.3">
      <c r="A97" s="1" t="s">
        <v>68</v>
      </c>
      <c r="B97" s="1" t="s">
        <v>17</v>
      </c>
      <c r="C97" s="1" t="s">
        <v>20</v>
      </c>
      <c r="D97" s="1" t="s">
        <v>12</v>
      </c>
      <c r="E97" s="1">
        <v>917.48</v>
      </c>
      <c r="F97" s="1">
        <v>6</v>
      </c>
      <c r="G97" s="2">
        <v>0</v>
      </c>
      <c r="H97" s="3">
        <v>45558</v>
      </c>
      <c r="I97" s="1">
        <v>366.99</v>
      </c>
      <c r="J97" s="8" t="str">
        <f t="shared" si="2"/>
        <v>Sep-2024</v>
      </c>
      <c r="K97" s="8">
        <f t="shared" si="3"/>
        <v>4413.71</v>
      </c>
    </row>
    <row r="98" spans="1:11" x14ac:dyDescent="0.3">
      <c r="A98" s="1" t="s">
        <v>41</v>
      </c>
      <c r="B98" s="1" t="s">
        <v>61</v>
      </c>
      <c r="C98" s="1" t="s">
        <v>11</v>
      </c>
      <c r="D98" s="1" t="s">
        <v>27</v>
      </c>
      <c r="E98" s="1">
        <v>1172.97</v>
      </c>
      <c r="F98" s="1">
        <v>7</v>
      </c>
      <c r="G98" s="2">
        <v>0.15</v>
      </c>
      <c r="H98" s="3">
        <v>45559</v>
      </c>
      <c r="I98" s="1">
        <v>348.96</v>
      </c>
      <c r="J98" s="8" t="str">
        <f t="shared" si="2"/>
        <v>Sep-2024</v>
      </c>
      <c r="K98" s="8">
        <f t="shared" si="3"/>
        <v>5779.05</v>
      </c>
    </row>
    <row r="99" spans="1:11" x14ac:dyDescent="0.3">
      <c r="A99" s="1" t="s">
        <v>57</v>
      </c>
      <c r="B99" s="1" t="s">
        <v>23</v>
      </c>
      <c r="C99" s="1" t="s">
        <v>24</v>
      </c>
      <c r="D99" s="1" t="s">
        <v>15</v>
      </c>
      <c r="E99" s="1">
        <v>1205.82</v>
      </c>
      <c r="F99" s="1">
        <v>11</v>
      </c>
      <c r="G99" s="2">
        <v>0.1</v>
      </c>
      <c r="H99" s="3">
        <v>45559</v>
      </c>
      <c r="I99" s="1">
        <v>542.62</v>
      </c>
      <c r="J99" s="8" t="str">
        <f t="shared" si="2"/>
        <v>Sep-2024</v>
      </c>
      <c r="K99" s="8">
        <f t="shared" si="3"/>
        <v>8740.18</v>
      </c>
    </row>
    <row r="100" spans="1:11" x14ac:dyDescent="0.3">
      <c r="A100" s="1" t="s">
        <v>16</v>
      </c>
      <c r="B100" s="1" t="s">
        <v>64</v>
      </c>
      <c r="C100" s="1" t="s">
        <v>11</v>
      </c>
      <c r="D100" s="1" t="s">
        <v>39</v>
      </c>
      <c r="E100" s="1">
        <v>826.93</v>
      </c>
      <c r="F100" s="1">
        <v>10</v>
      </c>
      <c r="G100" s="2">
        <v>0.2</v>
      </c>
      <c r="H100" s="3">
        <v>45564</v>
      </c>
      <c r="I100" s="1">
        <v>297.69</v>
      </c>
      <c r="J100" s="8" t="str">
        <f t="shared" si="2"/>
        <v>Sep-2024</v>
      </c>
      <c r="K100" s="8">
        <f t="shared" si="3"/>
        <v>3419.2</v>
      </c>
    </row>
    <row r="101" spans="1:11" x14ac:dyDescent="0.3">
      <c r="A101" s="1" t="s">
        <v>67</v>
      </c>
      <c r="B101" s="1" t="s">
        <v>23</v>
      </c>
      <c r="C101" s="1" t="s">
        <v>34</v>
      </c>
      <c r="D101" s="1" t="s">
        <v>15</v>
      </c>
      <c r="E101" s="1">
        <v>902.19</v>
      </c>
      <c r="F101" s="1">
        <v>12</v>
      </c>
      <c r="G101" s="2">
        <v>0</v>
      </c>
      <c r="H101" s="3">
        <v>45564</v>
      </c>
      <c r="I101" s="1">
        <v>451.1</v>
      </c>
      <c r="J101" s="8" t="str">
        <f t="shared" si="2"/>
        <v>Sep-2024</v>
      </c>
      <c r="K101" s="8">
        <f t="shared" si="3"/>
        <v>8490.18</v>
      </c>
    </row>
    <row r="102" spans="1:11" x14ac:dyDescent="0.3">
      <c r="A102" s="1" t="s">
        <v>74</v>
      </c>
      <c r="B102" s="1" t="s">
        <v>38</v>
      </c>
      <c r="C102" s="1" t="s">
        <v>24</v>
      </c>
      <c r="D102" s="1" t="s">
        <v>12</v>
      </c>
      <c r="E102" s="1">
        <v>585.97</v>
      </c>
      <c r="F102" s="1">
        <v>17</v>
      </c>
      <c r="G102" s="2">
        <v>0.1</v>
      </c>
      <c r="H102" s="3">
        <v>45565</v>
      </c>
      <c r="I102" s="1">
        <v>210.95</v>
      </c>
      <c r="J102" s="8" t="str">
        <f t="shared" si="2"/>
        <v>Sep-2024</v>
      </c>
      <c r="K102" s="8">
        <f t="shared" si="3"/>
        <v>3906.04</v>
      </c>
    </row>
    <row r="103" spans="1:11" x14ac:dyDescent="0.3">
      <c r="A103" s="1" t="s">
        <v>60</v>
      </c>
      <c r="B103" s="1" t="s">
        <v>26</v>
      </c>
      <c r="C103" s="1" t="s">
        <v>24</v>
      </c>
      <c r="D103" s="1" t="s">
        <v>15</v>
      </c>
      <c r="E103" s="1">
        <v>990.19</v>
      </c>
      <c r="F103" s="1">
        <v>8</v>
      </c>
      <c r="G103" s="2">
        <v>0.1</v>
      </c>
      <c r="H103" s="3">
        <v>45565</v>
      </c>
      <c r="I103" s="1">
        <v>445.59</v>
      </c>
      <c r="J103" s="8" t="str">
        <f t="shared" si="2"/>
        <v>Sep-2024</v>
      </c>
      <c r="K103" s="8">
        <f t="shared" si="3"/>
        <v>3369.17</v>
      </c>
    </row>
    <row r="104" spans="1:11" x14ac:dyDescent="0.3">
      <c r="A104" s="1" t="s">
        <v>44</v>
      </c>
      <c r="B104" s="1" t="s">
        <v>56</v>
      </c>
      <c r="C104" s="1" t="s">
        <v>34</v>
      </c>
      <c r="D104" s="1" t="s">
        <v>21</v>
      </c>
      <c r="E104" s="1">
        <v>1014.09</v>
      </c>
      <c r="F104" s="1">
        <v>13</v>
      </c>
      <c r="G104" s="2">
        <v>0.2</v>
      </c>
      <c r="H104" s="3">
        <v>45567</v>
      </c>
      <c r="I104" s="1">
        <v>202.82</v>
      </c>
      <c r="J104" s="8" t="str">
        <f t="shared" si="2"/>
        <v>Oct-2024</v>
      </c>
      <c r="K104" s="8">
        <f t="shared" si="3"/>
        <v>9760.7999999999993</v>
      </c>
    </row>
    <row r="105" spans="1:11" x14ac:dyDescent="0.3">
      <c r="A105" s="1" t="s">
        <v>13</v>
      </c>
      <c r="B105" s="1" t="s">
        <v>48</v>
      </c>
      <c r="C105" s="1" t="s">
        <v>24</v>
      </c>
      <c r="D105" s="1" t="s">
        <v>21</v>
      </c>
      <c r="E105" s="1">
        <v>925.29</v>
      </c>
      <c r="F105" s="1">
        <v>17</v>
      </c>
      <c r="G105" s="2">
        <v>0</v>
      </c>
      <c r="H105" s="3">
        <v>45570</v>
      </c>
      <c r="I105" s="1">
        <v>231.32</v>
      </c>
      <c r="J105" s="8" t="str">
        <f t="shared" si="2"/>
        <v>Oct-2024</v>
      </c>
      <c r="K105" s="8">
        <f t="shared" si="3"/>
        <v>8339</v>
      </c>
    </row>
    <row r="106" spans="1:11" x14ac:dyDescent="0.3">
      <c r="A106" s="1" t="s">
        <v>54</v>
      </c>
      <c r="B106" s="1" t="s">
        <v>47</v>
      </c>
      <c r="C106" s="1" t="s">
        <v>18</v>
      </c>
      <c r="D106" s="1" t="s">
        <v>27</v>
      </c>
      <c r="E106" s="1">
        <v>1286.54</v>
      </c>
      <c r="F106" s="1">
        <v>8</v>
      </c>
      <c r="G106" s="2">
        <v>0</v>
      </c>
      <c r="H106" s="3">
        <v>45575</v>
      </c>
      <c r="I106" s="1">
        <v>450.29</v>
      </c>
      <c r="J106" s="8" t="str">
        <f t="shared" si="2"/>
        <v>Oct-2024</v>
      </c>
      <c r="K106" s="8">
        <f t="shared" si="3"/>
        <v>6716.52</v>
      </c>
    </row>
    <row r="107" spans="1:11" x14ac:dyDescent="0.3">
      <c r="A107" s="1" t="s">
        <v>37</v>
      </c>
      <c r="B107" s="1" t="s">
        <v>64</v>
      </c>
      <c r="C107" s="1" t="s">
        <v>20</v>
      </c>
      <c r="D107" s="1" t="s">
        <v>12</v>
      </c>
      <c r="E107" s="1">
        <v>961.62</v>
      </c>
      <c r="F107" s="1">
        <v>8</v>
      </c>
      <c r="G107" s="2">
        <v>0.2</v>
      </c>
      <c r="H107" s="3">
        <v>45577</v>
      </c>
      <c r="I107" s="1">
        <v>307.72000000000003</v>
      </c>
      <c r="J107" s="8" t="str">
        <f t="shared" si="2"/>
        <v>Oct-2024</v>
      </c>
      <c r="K107" s="8">
        <f t="shared" si="3"/>
        <v>6729.8899999999994</v>
      </c>
    </row>
    <row r="108" spans="1:11" x14ac:dyDescent="0.3">
      <c r="A108" s="1" t="s">
        <v>44</v>
      </c>
      <c r="B108" s="1" t="s">
        <v>23</v>
      </c>
      <c r="C108" s="1" t="s">
        <v>18</v>
      </c>
      <c r="D108" s="1" t="s">
        <v>12</v>
      </c>
      <c r="E108" s="1">
        <v>1081.1400000000001</v>
      </c>
      <c r="F108" s="1">
        <v>19</v>
      </c>
      <c r="G108" s="2">
        <v>0.15</v>
      </c>
      <c r="H108" s="3">
        <v>45577</v>
      </c>
      <c r="I108" s="1">
        <v>367.59</v>
      </c>
      <c r="J108" s="8" t="str">
        <f t="shared" si="2"/>
        <v>Oct-2024</v>
      </c>
      <c r="K108" s="8">
        <f t="shared" si="3"/>
        <v>9760.7999999999993</v>
      </c>
    </row>
    <row r="109" spans="1:11" x14ac:dyDescent="0.3">
      <c r="A109" s="1" t="s">
        <v>58</v>
      </c>
      <c r="B109" s="1" t="s">
        <v>23</v>
      </c>
      <c r="C109" s="1" t="s">
        <v>11</v>
      </c>
      <c r="D109" s="1" t="s">
        <v>15</v>
      </c>
      <c r="E109" s="1">
        <v>1923.66</v>
      </c>
      <c r="F109" s="1">
        <v>9</v>
      </c>
      <c r="G109" s="2">
        <v>0.2</v>
      </c>
      <c r="H109" s="3">
        <v>45580</v>
      </c>
      <c r="I109" s="1">
        <v>769.46</v>
      </c>
      <c r="J109" s="8" t="str">
        <f t="shared" si="2"/>
        <v>Oct-2024</v>
      </c>
      <c r="K109" s="8">
        <f t="shared" si="3"/>
        <v>11611.060000000001</v>
      </c>
    </row>
    <row r="110" spans="1:11" x14ac:dyDescent="0.3">
      <c r="A110" s="1" t="s">
        <v>54</v>
      </c>
      <c r="B110" s="1" t="s">
        <v>66</v>
      </c>
      <c r="C110" s="1" t="s">
        <v>34</v>
      </c>
      <c r="D110" s="1" t="s">
        <v>15</v>
      </c>
      <c r="E110" s="1">
        <v>728.71</v>
      </c>
      <c r="F110" s="1">
        <v>14</v>
      </c>
      <c r="G110" s="2">
        <v>0.1</v>
      </c>
      <c r="H110" s="3">
        <v>45581</v>
      </c>
      <c r="I110" s="1">
        <v>327.92</v>
      </c>
      <c r="J110" s="8" t="str">
        <f t="shared" si="2"/>
        <v>Oct-2024</v>
      </c>
      <c r="K110" s="8">
        <f t="shared" si="3"/>
        <v>6716.52</v>
      </c>
    </row>
    <row r="111" spans="1:11" x14ac:dyDescent="0.3">
      <c r="A111" s="1" t="s">
        <v>9</v>
      </c>
      <c r="B111" s="1" t="s">
        <v>33</v>
      </c>
      <c r="C111" s="1" t="s">
        <v>34</v>
      </c>
      <c r="D111" s="1" t="s">
        <v>15</v>
      </c>
      <c r="E111" s="1">
        <v>1301.8900000000001</v>
      </c>
      <c r="F111" s="1">
        <v>7</v>
      </c>
      <c r="G111" s="2">
        <v>0.15</v>
      </c>
      <c r="H111" s="3">
        <v>45581</v>
      </c>
      <c r="I111" s="1">
        <v>553.29999999999995</v>
      </c>
      <c r="J111" s="8" t="str">
        <f t="shared" si="2"/>
        <v>Oct-2024</v>
      </c>
      <c r="K111" s="8">
        <f t="shared" si="3"/>
        <v>4640.1099999999997</v>
      </c>
    </row>
    <row r="112" spans="1:11" x14ac:dyDescent="0.3">
      <c r="A112" s="1" t="s">
        <v>70</v>
      </c>
      <c r="B112" s="1" t="s">
        <v>66</v>
      </c>
      <c r="C112" s="1" t="s">
        <v>18</v>
      </c>
      <c r="D112" s="1" t="s">
        <v>12</v>
      </c>
      <c r="E112" s="1">
        <v>980.18</v>
      </c>
      <c r="F112" s="1">
        <v>16</v>
      </c>
      <c r="G112" s="2">
        <v>0.1</v>
      </c>
      <c r="H112" s="3">
        <v>45582</v>
      </c>
      <c r="I112" s="1">
        <v>352.86</v>
      </c>
      <c r="J112" s="8" t="str">
        <f t="shared" si="2"/>
        <v>Oct-2024</v>
      </c>
      <c r="K112" s="8">
        <f t="shared" si="3"/>
        <v>7583.1299999999992</v>
      </c>
    </row>
    <row r="113" spans="1:11" x14ac:dyDescent="0.3">
      <c r="A113" s="1" t="s">
        <v>74</v>
      </c>
      <c r="B113" s="1" t="s">
        <v>23</v>
      </c>
      <c r="C113" s="1" t="s">
        <v>11</v>
      </c>
      <c r="D113" s="1" t="s">
        <v>15</v>
      </c>
      <c r="E113" s="1">
        <v>697.57</v>
      </c>
      <c r="F113" s="1">
        <v>17</v>
      </c>
      <c r="G113" s="2">
        <v>0.1</v>
      </c>
      <c r="H113" s="3">
        <v>45584</v>
      </c>
      <c r="I113" s="1">
        <v>313.91000000000003</v>
      </c>
      <c r="J113" s="8" t="str">
        <f t="shared" si="2"/>
        <v>Oct-2024</v>
      </c>
      <c r="K113" s="8">
        <f t="shared" si="3"/>
        <v>3906.04</v>
      </c>
    </row>
    <row r="114" spans="1:11" x14ac:dyDescent="0.3">
      <c r="A114" s="1" t="s">
        <v>46</v>
      </c>
      <c r="B114" s="1" t="s">
        <v>71</v>
      </c>
      <c r="C114" s="1" t="s">
        <v>11</v>
      </c>
      <c r="D114" s="1" t="s">
        <v>27</v>
      </c>
      <c r="E114" s="1">
        <v>1193.6099999999999</v>
      </c>
      <c r="F114" s="1">
        <v>1</v>
      </c>
      <c r="G114" s="2">
        <v>0.15</v>
      </c>
      <c r="H114" s="3">
        <v>45584</v>
      </c>
      <c r="I114" s="1">
        <v>355.1</v>
      </c>
      <c r="J114" s="8" t="str">
        <f t="shared" si="2"/>
        <v>Oct-2024</v>
      </c>
      <c r="K114" s="8">
        <f t="shared" si="3"/>
        <v>2699.75</v>
      </c>
    </row>
    <row r="115" spans="1:11" x14ac:dyDescent="0.3">
      <c r="A115" s="1" t="s">
        <v>32</v>
      </c>
      <c r="B115" s="1" t="s">
        <v>38</v>
      </c>
      <c r="C115" s="1" t="s">
        <v>20</v>
      </c>
      <c r="D115" s="1" t="s">
        <v>21</v>
      </c>
      <c r="E115" s="1">
        <v>771.02</v>
      </c>
      <c r="F115" s="1">
        <v>1</v>
      </c>
      <c r="G115" s="2">
        <v>0</v>
      </c>
      <c r="H115" s="3">
        <v>45585</v>
      </c>
      <c r="I115" s="1">
        <v>192.76</v>
      </c>
      <c r="J115" s="8" t="str">
        <f t="shared" si="2"/>
        <v>Oct-2024</v>
      </c>
      <c r="K115" s="8">
        <f t="shared" si="3"/>
        <v>6505.2</v>
      </c>
    </row>
    <row r="116" spans="1:11" x14ac:dyDescent="0.3">
      <c r="A116" s="1" t="s">
        <v>67</v>
      </c>
      <c r="B116" s="1" t="s">
        <v>69</v>
      </c>
      <c r="C116" s="1" t="s">
        <v>24</v>
      </c>
      <c r="D116" s="1" t="s">
        <v>15</v>
      </c>
      <c r="E116" s="1">
        <v>661.09</v>
      </c>
      <c r="F116" s="1">
        <v>1</v>
      </c>
      <c r="G116" s="2">
        <v>0.2</v>
      </c>
      <c r="H116" s="3">
        <v>45593</v>
      </c>
      <c r="I116" s="1">
        <v>264.44</v>
      </c>
      <c r="J116" s="8" t="str">
        <f t="shared" si="2"/>
        <v>Oct-2024</v>
      </c>
      <c r="K116" s="8">
        <f t="shared" si="3"/>
        <v>8490.18</v>
      </c>
    </row>
    <row r="117" spans="1:11" x14ac:dyDescent="0.3">
      <c r="A117" s="1" t="s">
        <v>13</v>
      </c>
      <c r="B117" s="1" t="s">
        <v>55</v>
      </c>
      <c r="C117" s="1" t="s">
        <v>11</v>
      </c>
      <c r="D117" s="1" t="s">
        <v>21</v>
      </c>
      <c r="E117" s="1">
        <v>688.83</v>
      </c>
      <c r="F117" s="1">
        <v>15</v>
      </c>
      <c r="G117" s="2">
        <v>0</v>
      </c>
      <c r="H117" s="3">
        <v>45595</v>
      </c>
      <c r="I117" s="1">
        <v>172.21</v>
      </c>
      <c r="J117" s="8" t="str">
        <f t="shared" si="2"/>
        <v>Oct-2024</v>
      </c>
      <c r="K117" s="8">
        <f t="shared" si="3"/>
        <v>8339</v>
      </c>
    </row>
    <row r="118" spans="1:11" x14ac:dyDescent="0.3">
      <c r="A118" s="1" t="s">
        <v>73</v>
      </c>
      <c r="B118" s="1" t="s">
        <v>29</v>
      </c>
      <c r="C118" s="1" t="s">
        <v>34</v>
      </c>
      <c r="D118" s="1" t="s">
        <v>12</v>
      </c>
      <c r="E118" s="1">
        <v>1249.0999999999999</v>
      </c>
      <c r="F118" s="1">
        <v>4</v>
      </c>
      <c r="G118" s="2">
        <v>0.05</v>
      </c>
      <c r="H118" s="3">
        <v>45597</v>
      </c>
      <c r="I118" s="1">
        <v>474.66</v>
      </c>
      <c r="J118" s="8" t="str">
        <f t="shared" si="2"/>
        <v>Nov-2024</v>
      </c>
      <c r="K118" s="8">
        <f t="shared" si="3"/>
        <v>4162.4400000000005</v>
      </c>
    </row>
    <row r="119" spans="1:11" x14ac:dyDescent="0.3">
      <c r="A119" s="1" t="s">
        <v>44</v>
      </c>
      <c r="B119" s="1" t="s">
        <v>23</v>
      </c>
      <c r="C119" s="1" t="s">
        <v>18</v>
      </c>
      <c r="D119" s="1" t="s">
        <v>39</v>
      </c>
      <c r="E119" s="1">
        <v>1014.22</v>
      </c>
      <c r="F119" s="1">
        <v>14</v>
      </c>
      <c r="G119" s="2">
        <v>0.05</v>
      </c>
      <c r="H119" s="3">
        <v>45599</v>
      </c>
      <c r="I119" s="1">
        <v>433.58</v>
      </c>
      <c r="J119" s="8" t="str">
        <f t="shared" si="2"/>
        <v>Nov-2024</v>
      </c>
      <c r="K119" s="8">
        <f t="shared" si="3"/>
        <v>9760.7999999999993</v>
      </c>
    </row>
    <row r="120" spans="1:11" x14ac:dyDescent="0.3">
      <c r="A120" s="1" t="s">
        <v>54</v>
      </c>
      <c r="B120" s="1" t="s">
        <v>48</v>
      </c>
      <c r="C120" s="1" t="s">
        <v>18</v>
      </c>
      <c r="D120" s="1" t="s">
        <v>12</v>
      </c>
      <c r="E120" s="1">
        <v>1010.58</v>
      </c>
      <c r="F120" s="1">
        <v>2</v>
      </c>
      <c r="G120" s="2">
        <v>0.15</v>
      </c>
      <c r="H120" s="3">
        <v>45605</v>
      </c>
      <c r="I120" s="1">
        <v>343.6</v>
      </c>
      <c r="J120" s="8" t="str">
        <f t="shared" si="2"/>
        <v>Nov-2024</v>
      </c>
      <c r="K120" s="8">
        <f t="shared" si="3"/>
        <v>6716.52</v>
      </c>
    </row>
    <row r="121" spans="1:11" x14ac:dyDescent="0.3">
      <c r="A121" s="1" t="s">
        <v>30</v>
      </c>
      <c r="B121" s="1" t="s">
        <v>59</v>
      </c>
      <c r="C121" s="1" t="s">
        <v>24</v>
      </c>
      <c r="D121" s="1" t="s">
        <v>27</v>
      </c>
      <c r="E121" s="1">
        <v>957.29</v>
      </c>
      <c r="F121" s="1">
        <v>4</v>
      </c>
      <c r="G121" s="2">
        <v>0.05</v>
      </c>
      <c r="H121" s="3">
        <v>45605</v>
      </c>
      <c r="I121" s="1">
        <v>318.3</v>
      </c>
      <c r="J121" s="8" t="str">
        <f t="shared" si="2"/>
        <v>Nov-2024</v>
      </c>
      <c r="K121" s="8">
        <f t="shared" si="3"/>
        <v>9371.81</v>
      </c>
    </row>
    <row r="122" spans="1:11" x14ac:dyDescent="0.3">
      <c r="A122" s="1" t="s">
        <v>28</v>
      </c>
      <c r="B122" s="1" t="s">
        <v>45</v>
      </c>
      <c r="C122" s="1" t="s">
        <v>24</v>
      </c>
      <c r="D122" s="1" t="s">
        <v>27</v>
      </c>
      <c r="E122" s="1">
        <v>1077.92</v>
      </c>
      <c r="F122" s="1">
        <v>3</v>
      </c>
      <c r="G122" s="2">
        <v>0.05</v>
      </c>
      <c r="H122" s="3">
        <v>45608</v>
      </c>
      <c r="I122" s="1">
        <v>358.41</v>
      </c>
      <c r="J122" s="8" t="str">
        <f t="shared" si="2"/>
        <v>Nov-2024</v>
      </c>
      <c r="K122" s="8">
        <f t="shared" si="3"/>
        <v>6549.55</v>
      </c>
    </row>
    <row r="123" spans="1:11" x14ac:dyDescent="0.3">
      <c r="A123" s="1" t="s">
        <v>52</v>
      </c>
      <c r="B123" s="1" t="s">
        <v>50</v>
      </c>
      <c r="C123" s="1" t="s">
        <v>20</v>
      </c>
      <c r="D123" s="1" t="s">
        <v>15</v>
      </c>
      <c r="E123" s="1">
        <v>1163.01</v>
      </c>
      <c r="F123" s="1">
        <v>5</v>
      </c>
      <c r="G123" s="2">
        <v>0</v>
      </c>
      <c r="H123" s="3">
        <v>45611</v>
      </c>
      <c r="I123" s="1">
        <v>581.5</v>
      </c>
      <c r="J123" s="8" t="str">
        <f t="shared" si="2"/>
        <v>Nov-2024</v>
      </c>
      <c r="K123" s="8">
        <f t="shared" si="3"/>
        <v>10293.870000000001</v>
      </c>
    </row>
    <row r="124" spans="1:11" x14ac:dyDescent="0.3">
      <c r="A124" s="1" t="s">
        <v>54</v>
      </c>
      <c r="B124" s="1" t="s">
        <v>45</v>
      </c>
      <c r="C124" s="1" t="s">
        <v>18</v>
      </c>
      <c r="D124" s="1" t="s">
        <v>39</v>
      </c>
      <c r="E124" s="1">
        <v>1014.56</v>
      </c>
      <c r="F124" s="1">
        <v>10</v>
      </c>
      <c r="G124" s="2">
        <v>0.1</v>
      </c>
      <c r="H124" s="3">
        <v>45612</v>
      </c>
      <c r="I124" s="1">
        <v>410.9</v>
      </c>
      <c r="J124" s="8" t="str">
        <f t="shared" si="2"/>
        <v>Nov-2024</v>
      </c>
      <c r="K124" s="8">
        <f t="shared" si="3"/>
        <v>6716.52</v>
      </c>
    </row>
    <row r="125" spans="1:11" x14ac:dyDescent="0.3">
      <c r="A125" s="1" t="s">
        <v>9</v>
      </c>
      <c r="B125" s="1" t="s">
        <v>17</v>
      </c>
      <c r="C125" s="1" t="s">
        <v>20</v>
      </c>
      <c r="D125" s="1" t="s">
        <v>21</v>
      </c>
      <c r="E125" s="1">
        <v>718.04</v>
      </c>
      <c r="F125" s="1">
        <v>14</v>
      </c>
      <c r="G125" s="2">
        <v>0</v>
      </c>
      <c r="H125" s="3">
        <v>45613</v>
      </c>
      <c r="I125" s="1">
        <v>179.51</v>
      </c>
      <c r="J125" s="8" t="str">
        <f t="shared" si="2"/>
        <v>Nov-2024</v>
      </c>
      <c r="K125" s="8">
        <f t="shared" si="3"/>
        <v>4640.1099999999997</v>
      </c>
    </row>
    <row r="126" spans="1:11" x14ac:dyDescent="0.3">
      <c r="A126" s="1" t="s">
        <v>72</v>
      </c>
      <c r="B126" s="1" t="s">
        <v>17</v>
      </c>
      <c r="C126" s="1" t="s">
        <v>34</v>
      </c>
      <c r="D126" s="1" t="s">
        <v>15</v>
      </c>
      <c r="E126" s="1">
        <v>1277.8499999999999</v>
      </c>
      <c r="F126" s="1">
        <v>18</v>
      </c>
      <c r="G126" s="2">
        <v>0.2</v>
      </c>
      <c r="H126" s="3">
        <v>45613</v>
      </c>
      <c r="I126" s="1">
        <v>511.14</v>
      </c>
      <c r="J126" s="8" t="str">
        <f t="shared" si="2"/>
        <v>Nov-2024</v>
      </c>
      <c r="K126" s="8">
        <f t="shared" si="3"/>
        <v>7813.59</v>
      </c>
    </row>
    <row r="127" spans="1:11" x14ac:dyDescent="0.3">
      <c r="A127" s="1" t="s">
        <v>70</v>
      </c>
      <c r="B127" s="1" t="s">
        <v>23</v>
      </c>
      <c r="C127" s="1" t="s">
        <v>24</v>
      </c>
      <c r="D127" s="1" t="s">
        <v>21</v>
      </c>
      <c r="E127" s="1">
        <v>706.73</v>
      </c>
      <c r="F127" s="1">
        <v>1</v>
      </c>
      <c r="G127" s="2">
        <v>0.15</v>
      </c>
      <c r="H127" s="3">
        <v>45613</v>
      </c>
      <c r="I127" s="1">
        <v>150.18</v>
      </c>
      <c r="J127" s="8" t="str">
        <f t="shared" si="2"/>
        <v>Nov-2024</v>
      </c>
      <c r="K127" s="8">
        <f t="shared" si="3"/>
        <v>7583.1299999999992</v>
      </c>
    </row>
    <row r="128" spans="1:11" x14ac:dyDescent="0.3">
      <c r="A128" s="1" t="s">
        <v>65</v>
      </c>
      <c r="B128" s="1" t="s">
        <v>50</v>
      </c>
      <c r="C128" s="1" t="s">
        <v>18</v>
      </c>
      <c r="D128" s="1" t="s">
        <v>21</v>
      </c>
      <c r="E128" s="1">
        <v>1410.59</v>
      </c>
      <c r="F128" s="1">
        <v>15</v>
      </c>
      <c r="G128" s="2">
        <v>0</v>
      </c>
      <c r="H128" s="3">
        <v>45615</v>
      </c>
      <c r="I128" s="1">
        <v>352.65</v>
      </c>
      <c r="J128" s="8" t="str">
        <f t="shared" si="2"/>
        <v>Nov-2024</v>
      </c>
      <c r="K128" s="8">
        <f t="shared" si="3"/>
        <v>6481.43</v>
      </c>
    </row>
    <row r="129" spans="1:11" x14ac:dyDescent="0.3">
      <c r="A129" s="1" t="s">
        <v>32</v>
      </c>
      <c r="B129" s="1" t="s">
        <v>61</v>
      </c>
      <c r="C129" s="1" t="s">
        <v>20</v>
      </c>
      <c r="D129" s="1" t="s">
        <v>27</v>
      </c>
      <c r="E129" s="1">
        <v>1350.33</v>
      </c>
      <c r="F129" s="1">
        <v>10</v>
      </c>
      <c r="G129" s="2">
        <v>0</v>
      </c>
      <c r="H129" s="3">
        <v>45615</v>
      </c>
      <c r="I129" s="1">
        <v>472.62</v>
      </c>
      <c r="J129" s="8" t="str">
        <f t="shared" si="2"/>
        <v>Nov-2024</v>
      </c>
      <c r="K129" s="8">
        <f t="shared" si="3"/>
        <v>6505.2</v>
      </c>
    </row>
    <row r="130" spans="1:11" x14ac:dyDescent="0.3">
      <c r="A130" s="1" t="s">
        <v>41</v>
      </c>
      <c r="B130" s="1" t="s">
        <v>45</v>
      </c>
      <c r="C130" s="1" t="s">
        <v>18</v>
      </c>
      <c r="D130" s="1" t="s">
        <v>21</v>
      </c>
      <c r="E130" s="1">
        <v>919.18</v>
      </c>
      <c r="F130" s="1">
        <v>4</v>
      </c>
      <c r="G130" s="2">
        <v>0.15</v>
      </c>
      <c r="H130" s="3">
        <v>45615</v>
      </c>
      <c r="I130" s="1">
        <v>195.33</v>
      </c>
      <c r="J130" s="8" t="str">
        <f t="shared" si="2"/>
        <v>Nov-2024</v>
      </c>
      <c r="K130" s="8">
        <f t="shared" si="3"/>
        <v>5779.05</v>
      </c>
    </row>
    <row r="131" spans="1:11" x14ac:dyDescent="0.3">
      <c r="A131" s="1" t="s">
        <v>74</v>
      </c>
      <c r="B131" s="1" t="s">
        <v>23</v>
      </c>
      <c r="C131" s="1" t="s">
        <v>11</v>
      </c>
      <c r="D131" s="1" t="s">
        <v>21</v>
      </c>
      <c r="E131" s="1">
        <v>258.51</v>
      </c>
      <c r="F131" s="1">
        <v>19</v>
      </c>
      <c r="G131" s="2">
        <v>0</v>
      </c>
      <c r="H131" s="3">
        <v>45616</v>
      </c>
      <c r="I131" s="1">
        <v>64.63</v>
      </c>
      <c r="J131" s="8" t="str">
        <f t="shared" ref="J131:J194" si="4">TEXT(H131,"mmm-yyy")</f>
        <v>Nov-2024</v>
      </c>
      <c r="K131" s="8">
        <f t="shared" ref="K131:K194" si="5">SUMIFS($E:$E,$A:$A,A131)</f>
        <v>3906.04</v>
      </c>
    </row>
    <row r="132" spans="1:11" x14ac:dyDescent="0.3">
      <c r="A132" s="1" t="s">
        <v>63</v>
      </c>
      <c r="B132" s="1" t="s">
        <v>61</v>
      </c>
      <c r="C132" s="1" t="s">
        <v>18</v>
      </c>
      <c r="D132" s="1" t="s">
        <v>12</v>
      </c>
      <c r="E132" s="1">
        <v>1213.48</v>
      </c>
      <c r="F132" s="1">
        <v>5</v>
      </c>
      <c r="G132" s="2">
        <v>0.05</v>
      </c>
      <c r="H132" s="3">
        <v>45616</v>
      </c>
      <c r="I132" s="1">
        <v>461.12</v>
      </c>
      <c r="J132" s="8" t="str">
        <f t="shared" si="4"/>
        <v>Nov-2024</v>
      </c>
      <c r="K132" s="8">
        <f t="shared" si="5"/>
        <v>3762.2900000000004</v>
      </c>
    </row>
    <row r="133" spans="1:11" x14ac:dyDescent="0.3">
      <c r="A133" s="1" t="s">
        <v>57</v>
      </c>
      <c r="B133" s="1" t="s">
        <v>38</v>
      </c>
      <c r="C133" s="1" t="s">
        <v>34</v>
      </c>
      <c r="D133" s="1" t="s">
        <v>12</v>
      </c>
      <c r="E133" s="1">
        <v>1150.28</v>
      </c>
      <c r="F133" s="1">
        <v>8</v>
      </c>
      <c r="G133" s="2">
        <v>0.05</v>
      </c>
      <c r="H133" s="3">
        <v>45622</v>
      </c>
      <c r="I133" s="1">
        <v>437.11</v>
      </c>
      <c r="J133" s="8" t="str">
        <f t="shared" si="4"/>
        <v>Nov-2024</v>
      </c>
      <c r="K133" s="8">
        <f t="shared" si="5"/>
        <v>8740.18</v>
      </c>
    </row>
    <row r="134" spans="1:11" x14ac:dyDescent="0.3">
      <c r="A134" s="1" t="s">
        <v>37</v>
      </c>
      <c r="B134" s="1" t="s">
        <v>71</v>
      </c>
      <c r="C134" s="1" t="s">
        <v>20</v>
      </c>
      <c r="D134" s="1" t="s">
        <v>27</v>
      </c>
      <c r="E134" s="1">
        <v>853.86</v>
      </c>
      <c r="F134" s="1">
        <v>8</v>
      </c>
      <c r="G134" s="2">
        <v>0.1</v>
      </c>
      <c r="H134" s="3">
        <v>45622</v>
      </c>
      <c r="I134" s="1">
        <v>268.97000000000003</v>
      </c>
      <c r="J134" s="8" t="str">
        <f t="shared" si="4"/>
        <v>Nov-2024</v>
      </c>
      <c r="K134" s="8">
        <f t="shared" si="5"/>
        <v>6729.8899999999994</v>
      </c>
    </row>
    <row r="135" spans="1:11" x14ac:dyDescent="0.3">
      <c r="A135" s="1" t="s">
        <v>75</v>
      </c>
      <c r="B135" s="1" t="s">
        <v>45</v>
      </c>
      <c r="C135" s="1" t="s">
        <v>20</v>
      </c>
      <c r="D135" s="1" t="s">
        <v>21</v>
      </c>
      <c r="E135" s="1">
        <v>1061.04</v>
      </c>
      <c r="F135" s="1">
        <v>1</v>
      </c>
      <c r="G135" s="2">
        <v>0</v>
      </c>
      <c r="H135" s="3">
        <v>45624</v>
      </c>
      <c r="I135" s="1">
        <v>265.26</v>
      </c>
      <c r="J135" s="8" t="str">
        <f t="shared" si="4"/>
        <v>Nov-2024</v>
      </c>
      <c r="K135" s="8">
        <f t="shared" si="5"/>
        <v>4951.8899999999994</v>
      </c>
    </row>
    <row r="136" spans="1:11" x14ac:dyDescent="0.3">
      <c r="A136" s="1" t="s">
        <v>28</v>
      </c>
      <c r="B136" s="1" t="s">
        <v>43</v>
      </c>
      <c r="C136" s="1" t="s">
        <v>11</v>
      </c>
      <c r="D136" s="1" t="s">
        <v>21</v>
      </c>
      <c r="E136" s="1">
        <v>894.55</v>
      </c>
      <c r="F136" s="1">
        <v>19</v>
      </c>
      <c r="G136" s="2">
        <v>0.2</v>
      </c>
      <c r="H136" s="3">
        <v>45625</v>
      </c>
      <c r="I136" s="1">
        <v>178.91</v>
      </c>
      <c r="J136" s="8" t="str">
        <f t="shared" si="4"/>
        <v>Nov-2024</v>
      </c>
      <c r="K136" s="8">
        <f t="shared" si="5"/>
        <v>6549.55</v>
      </c>
    </row>
    <row r="137" spans="1:11" x14ac:dyDescent="0.3">
      <c r="A137" s="1" t="s">
        <v>25</v>
      </c>
      <c r="B137" s="1" t="s">
        <v>38</v>
      </c>
      <c r="C137" s="1" t="s">
        <v>24</v>
      </c>
      <c r="D137" s="1" t="s">
        <v>39</v>
      </c>
      <c r="E137" s="1">
        <v>833.91</v>
      </c>
      <c r="F137" s="1">
        <v>3</v>
      </c>
      <c r="G137" s="2">
        <v>0.05</v>
      </c>
      <c r="H137" s="3">
        <v>45626</v>
      </c>
      <c r="I137" s="1">
        <v>356.5</v>
      </c>
      <c r="J137" s="8" t="str">
        <f t="shared" si="4"/>
        <v>Nov-2024</v>
      </c>
      <c r="K137" s="8">
        <f t="shared" si="5"/>
        <v>9941.8799999999992</v>
      </c>
    </row>
    <row r="138" spans="1:11" x14ac:dyDescent="0.3">
      <c r="A138" s="1" t="s">
        <v>58</v>
      </c>
      <c r="B138" s="1" t="s">
        <v>71</v>
      </c>
      <c r="C138" s="1" t="s">
        <v>11</v>
      </c>
      <c r="D138" s="1" t="s">
        <v>27</v>
      </c>
      <c r="E138" s="1">
        <v>820.19</v>
      </c>
      <c r="F138" s="1">
        <v>4</v>
      </c>
      <c r="G138" s="2">
        <v>0.2</v>
      </c>
      <c r="H138" s="3">
        <v>45630</v>
      </c>
      <c r="I138" s="1">
        <v>229.65</v>
      </c>
      <c r="J138" s="8" t="str">
        <f t="shared" si="4"/>
        <v>Dec-2024</v>
      </c>
      <c r="K138" s="8">
        <f t="shared" si="5"/>
        <v>11611.060000000001</v>
      </c>
    </row>
    <row r="139" spans="1:11" x14ac:dyDescent="0.3">
      <c r="A139" s="1" t="s">
        <v>58</v>
      </c>
      <c r="B139" s="1" t="s">
        <v>38</v>
      </c>
      <c r="C139" s="1" t="s">
        <v>34</v>
      </c>
      <c r="D139" s="1" t="s">
        <v>21</v>
      </c>
      <c r="E139" s="1">
        <v>511.74</v>
      </c>
      <c r="F139" s="1">
        <v>8</v>
      </c>
      <c r="G139" s="2">
        <v>0.05</v>
      </c>
      <c r="H139" s="3">
        <v>45631</v>
      </c>
      <c r="I139" s="1">
        <v>121.54</v>
      </c>
      <c r="J139" s="8" t="str">
        <f t="shared" si="4"/>
        <v>Dec-2024</v>
      </c>
      <c r="K139" s="8">
        <f t="shared" si="5"/>
        <v>11611.060000000001</v>
      </c>
    </row>
    <row r="140" spans="1:11" x14ac:dyDescent="0.3">
      <c r="A140" s="1" t="s">
        <v>65</v>
      </c>
      <c r="B140" s="1" t="s">
        <v>61</v>
      </c>
      <c r="C140" s="1" t="s">
        <v>20</v>
      </c>
      <c r="D140" s="1" t="s">
        <v>27</v>
      </c>
      <c r="E140" s="1">
        <v>806.03</v>
      </c>
      <c r="F140" s="1">
        <v>19</v>
      </c>
      <c r="G140" s="2">
        <v>0.05</v>
      </c>
      <c r="H140" s="3">
        <v>45638</v>
      </c>
      <c r="I140" s="1">
        <v>268</v>
      </c>
      <c r="J140" s="8" t="str">
        <f t="shared" si="4"/>
        <v>Dec-2024</v>
      </c>
      <c r="K140" s="8">
        <f t="shared" si="5"/>
        <v>6481.43</v>
      </c>
    </row>
    <row r="141" spans="1:11" x14ac:dyDescent="0.3">
      <c r="A141" s="1" t="s">
        <v>28</v>
      </c>
      <c r="B141" s="1" t="s">
        <v>26</v>
      </c>
      <c r="C141" s="1" t="s">
        <v>34</v>
      </c>
      <c r="D141" s="1" t="s">
        <v>27</v>
      </c>
      <c r="E141" s="1">
        <v>1432.47</v>
      </c>
      <c r="F141" s="1">
        <v>16</v>
      </c>
      <c r="G141" s="2">
        <v>0.15</v>
      </c>
      <c r="H141" s="3">
        <v>45640</v>
      </c>
      <c r="I141" s="1">
        <v>426.16</v>
      </c>
      <c r="J141" s="8" t="str">
        <f t="shared" si="4"/>
        <v>Dec-2024</v>
      </c>
      <c r="K141" s="8">
        <f t="shared" si="5"/>
        <v>6549.55</v>
      </c>
    </row>
    <row r="142" spans="1:11" x14ac:dyDescent="0.3">
      <c r="A142" s="1" t="s">
        <v>74</v>
      </c>
      <c r="B142" s="1" t="s">
        <v>29</v>
      </c>
      <c r="C142" s="1" t="s">
        <v>34</v>
      </c>
      <c r="D142" s="1" t="s">
        <v>21</v>
      </c>
      <c r="E142" s="1">
        <v>1488.58</v>
      </c>
      <c r="F142" s="1">
        <v>10</v>
      </c>
      <c r="G142" s="2">
        <v>0.15</v>
      </c>
      <c r="H142" s="3">
        <v>45640</v>
      </c>
      <c r="I142" s="1">
        <v>316.32</v>
      </c>
      <c r="J142" s="8" t="str">
        <f t="shared" si="4"/>
        <v>Dec-2024</v>
      </c>
      <c r="K142" s="8">
        <f t="shared" si="5"/>
        <v>3906.04</v>
      </c>
    </row>
    <row r="143" spans="1:11" x14ac:dyDescent="0.3">
      <c r="A143" s="1" t="s">
        <v>30</v>
      </c>
      <c r="B143" s="1" t="s">
        <v>66</v>
      </c>
      <c r="C143" s="1" t="s">
        <v>18</v>
      </c>
      <c r="D143" s="1" t="s">
        <v>12</v>
      </c>
      <c r="E143" s="1">
        <v>1231.26</v>
      </c>
      <c r="F143" s="1">
        <v>9</v>
      </c>
      <c r="G143" s="2">
        <v>0</v>
      </c>
      <c r="H143" s="3">
        <v>45646</v>
      </c>
      <c r="I143" s="1">
        <v>492.5</v>
      </c>
      <c r="J143" s="8" t="str">
        <f t="shared" si="4"/>
        <v>Dec-2024</v>
      </c>
      <c r="K143" s="8">
        <f t="shared" si="5"/>
        <v>9371.81</v>
      </c>
    </row>
    <row r="144" spans="1:11" x14ac:dyDescent="0.3">
      <c r="A144" s="1" t="s">
        <v>30</v>
      </c>
      <c r="B144" s="1" t="s">
        <v>43</v>
      </c>
      <c r="C144" s="1" t="s">
        <v>11</v>
      </c>
      <c r="D144" s="1" t="s">
        <v>21</v>
      </c>
      <c r="E144" s="1">
        <v>1161.67</v>
      </c>
      <c r="F144" s="1">
        <v>19</v>
      </c>
      <c r="G144" s="2">
        <v>0.2</v>
      </c>
      <c r="H144" s="3">
        <v>45647</v>
      </c>
      <c r="I144" s="1">
        <v>232.33</v>
      </c>
      <c r="J144" s="8" t="str">
        <f t="shared" si="4"/>
        <v>Dec-2024</v>
      </c>
      <c r="K144" s="8">
        <f t="shared" si="5"/>
        <v>9371.81</v>
      </c>
    </row>
    <row r="145" spans="1:11" x14ac:dyDescent="0.3">
      <c r="A145" s="1" t="s">
        <v>49</v>
      </c>
      <c r="B145" s="1" t="s">
        <v>45</v>
      </c>
      <c r="C145" s="1" t="s">
        <v>34</v>
      </c>
      <c r="D145" s="1" t="s">
        <v>39</v>
      </c>
      <c r="E145" s="1">
        <v>388.23</v>
      </c>
      <c r="F145" s="1">
        <v>16</v>
      </c>
      <c r="G145" s="2">
        <v>0.05</v>
      </c>
      <c r="H145" s="3">
        <v>45650</v>
      </c>
      <c r="I145" s="1">
        <v>165.97</v>
      </c>
      <c r="J145" s="8" t="str">
        <f t="shared" si="4"/>
        <v>Dec-2024</v>
      </c>
      <c r="K145" s="8">
        <f t="shared" si="5"/>
        <v>4418.2800000000007</v>
      </c>
    </row>
    <row r="146" spans="1:11" x14ac:dyDescent="0.3">
      <c r="A146" s="1" t="s">
        <v>72</v>
      </c>
      <c r="B146" s="1" t="s">
        <v>31</v>
      </c>
      <c r="C146" s="1" t="s">
        <v>24</v>
      </c>
      <c r="D146" s="1" t="s">
        <v>15</v>
      </c>
      <c r="E146" s="1">
        <v>1589.42</v>
      </c>
      <c r="F146" s="1">
        <v>6</v>
      </c>
      <c r="G146" s="2">
        <v>0.15</v>
      </c>
      <c r="H146" s="3">
        <v>45651</v>
      </c>
      <c r="I146" s="1">
        <v>675.5</v>
      </c>
      <c r="J146" s="8" t="str">
        <f t="shared" si="4"/>
        <v>Dec-2024</v>
      </c>
      <c r="K146" s="8">
        <f t="shared" si="5"/>
        <v>7813.59</v>
      </c>
    </row>
    <row r="147" spans="1:11" x14ac:dyDescent="0.3">
      <c r="A147" s="1" t="s">
        <v>28</v>
      </c>
      <c r="B147" s="1" t="s">
        <v>71</v>
      </c>
      <c r="C147" s="1" t="s">
        <v>24</v>
      </c>
      <c r="D147" s="1" t="s">
        <v>15</v>
      </c>
      <c r="E147" s="1">
        <v>336.66</v>
      </c>
      <c r="F147" s="1">
        <v>13</v>
      </c>
      <c r="G147" s="2">
        <v>0.2</v>
      </c>
      <c r="H147" s="3">
        <v>45651</v>
      </c>
      <c r="I147" s="1">
        <v>134.66</v>
      </c>
      <c r="J147" s="8" t="str">
        <f t="shared" si="4"/>
        <v>Dec-2024</v>
      </c>
      <c r="K147" s="8">
        <f t="shared" si="5"/>
        <v>6549.55</v>
      </c>
    </row>
    <row r="148" spans="1:11" x14ac:dyDescent="0.3">
      <c r="A148" s="1" t="s">
        <v>49</v>
      </c>
      <c r="B148" s="1" t="s">
        <v>23</v>
      </c>
      <c r="C148" s="1" t="s">
        <v>11</v>
      </c>
      <c r="D148" s="1" t="s">
        <v>12</v>
      </c>
      <c r="E148" s="1">
        <v>1353.79</v>
      </c>
      <c r="F148" s="1">
        <v>14</v>
      </c>
      <c r="G148" s="2">
        <v>0.1</v>
      </c>
      <c r="H148" s="3">
        <v>45656</v>
      </c>
      <c r="I148" s="1">
        <v>487.36</v>
      </c>
      <c r="J148" s="8" t="str">
        <f t="shared" si="4"/>
        <v>Dec-2024</v>
      </c>
      <c r="K148" s="8">
        <f t="shared" si="5"/>
        <v>4418.2800000000007</v>
      </c>
    </row>
    <row r="149" spans="1:11" x14ac:dyDescent="0.3">
      <c r="A149" s="1" t="s">
        <v>63</v>
      </c>
      <c r="B149" s="1" t="s">
        <v>69</v>
      </c>
      <c r="C149" s="1" t="s">
        <v>34</v>
      </c>
      <c r="D149" s="1" t="s">
        <v>15</v>
      </c>
      <c r="E149" s="1">
        <v>662.61</v>
      </c>
      <c r="F149" s="1">
        <v>11</v>
      </c>
      <c r="G149" s="2">
        <v>0.05</v>
      </c>
      <c r="H149" s="3">
        <v>45658</v>
      </c>
      <c r="I149" s="1">
        <v>314.74</v>
      </c>
      <c r="J149" s="8" t="str">
        <f t="shared" si="4"/>
        <v>Jan-2025</v>
      </c>
      <c r="K149" s="8">
        <f t="shared" si="5"/>
        <v>3762.2900000000004</v>
      </c>
    </row>
    <row r="150" spans="1:11" x14ac:dyDescent="0.3">
      <c r="A150" s="1" t="s">
        <v>52</v>
      </c>
      <c r="B150" s="1" t="s">
        <v>48</v>
      </c>
      <c r="C150" s="1" t="s">
        <v>24</v>
      </c>
      <c r="D150" s="1" t="s">
        <v>39</v>
      </c>
      <c r="E150" s="1">
        <v>309.42</v>
      </c>
      <c r="F150" s="1">
        <v>1</v>
      </c>
      <c r="G150" s="2">
        <v>0.2</v>
      </c>
      <c r="H150" s="3">
        <v>45658</v>
      </c>
      <c r="I150" s="1">
        <v>111.39</v>
      </c>
      <c r="J150" s="8" t="str">
        <f t="shared" si="4"/>
        <v>Jan-2025</v>
      </c>
      <c r="K150" s="8">
        <f t="shared" si="5"/>
        <v>10293.870000000001</v>
      </c>
    </row>
    <row r="151" spans="1:11" x14ac:dyDescent="0.3">
      <c r="A151" s="1" t="s">
        <v>63</v>
      </c>
      <c r="B151" s="1" t="s">
        <v>29</v>
      </c>
      <c r="C151" s="1" t="s">
        <v>24</v>
      </c>
      <c r="D151" s="1" t="s">
        <v>12</v>
      </c>
      <c r="E151" s="1">
        <v>884.63</v>
      </c>
      <c r="F151" s="1">
        <v>18</v>
      </c>
      <c r="G151" s="2">
        <v>0.1</v>
      </c>
      <c r="H151" s="3">
        <v>45659</v>
      </c>
      <c r="I151" s="1">
        <v>318.47000000000003</v>
      </c>
      <c r="J151" s="8" t="str">
        <f t="shared" si="4"/>
        <v>Jan-2025</v>
      </c>
      <c r="K151" s="8">
        <f t="shared" si="5"/>
        <v>3762.2900000000004</v>
      </c>
    </row>
    <row r="152" spans="1:11" x14ac:dyDescent="0.3">
      <c r="A152" s="1" t="s">
        <v>52</v>
      </c>
      <c r="B152" s="1" t="s">
        <v>23</v>
      </c>
      <c r="C152" s="1" t="s">
        <v>34</v>
      </c>
      <c r="D152" s="1" t="s">
        <v>39</v>
      </c>
      <c r="E152" s="1">
        <v>745.05</v>
      </c>
      <c r="F152" s="1">
        <v>10</v>
      </c>
      <c r="G152" s="2">
        <v>0.1</v>
      </c>
      <c r="H152" s="3">
        <v>45660</v>
      </c>
      <c r="I152" s="1">
        <v>301.75</v>
      </c>
      <c r="J152" s="8" t="str">
        <f t="shared" si="4"/>
        <v>Jan-2025</v>
      </c>
      <c r="K152" s="8">
        <f t="shared" si="5"/>
        <v>10293.870000000001</v>
      </c>
    </row>
    <row r="153" spans="1:11" x14ac:dyDescent="0.3">
      <c r="A153" s="1" t="s">
        <v>60</v>
      </c>
      <c r="B153" s="1" t="s">
        <v>17</v>
      </c>
      <c r="C153" s="1" t="s">
        <v>20</v>
      </c>
      <c r="D153" s="1" t="s">
        <v>15</v>
      </c>
      <c r="E153" s="1">
        <v>870.23</v>
      </c>
      <c r="F153" s="1">
        <v>5</v>
      </c>
      <c r="G153" s="2">
        <v>0.05</v>
      </c>
      <c r="H153" s="3">
        <v>45660</v>
      </c>
      <c r="I153" s="1">
        <v>413.36</v>
      </c>
      <c r="J153" s="8" t="str">
        <f t="shared" si="4"/>
        <v>Jan-2025</v>
      </c>
      <c r="K153" s="8">
        <f t="shared" si="5"/>
        <v>3369.17</v>
      </c>
    </row>
    <row r="154" spans="1:11" x14ac:dyDescent="0.3">
      <c r="A154" s="1" t="s">
        <v>35</v>
      </c>
      <c r="B154" s="1" t="s">
        <v>29</v>
      </c>
      <c r="C154" s="1" t="s">
        <v>11</v>
      </c>
      <c r="D154" s="1" t="s">
        <v>27</v>
      </c>
      <c r="E154" s="1">
        <v>862.19</v>
      </c>
      <c r="F154" s="1">
        <v>18</v>
      </c>
      <c r="G154" s="2">
        <v>0.05</v>
      </c>
      <c r="H154" s="3">
        <v>45663</v>
      </c>
      <c r="I154" s="1">
        <v>286.68</v>
      </c>
      <c r="J154" s="8" t="str">
        <f t="shared" si="4"/>
        <v>Jan-2025</v>
      </c>
      <c r="K154" s="8">
        <f t="shared" si="5"/>
        <v>4259.22</v>
      </c>
    </row>
    <row r="155" spans="1:11" x14ac:dyDescent="0.3">
      <c r="A155" s="1" t="s">
        <v>73</v>
      </c>
      <c r="B155" s="1" t="s">
        <v>59</v>
      </c>
      <c r="C155" s="1" t="s">
        <v>24</v>
      </c>
      <c r="D155" s="1" t="s">
        <v>15</v>
      </c>
      <c r="E155" s="1">
        <v>1171.18</v>
      </c>
      <c r="F155" s="1">
        <v>19</v>
      </c>
      <c r="G155" s="2">
        <v>0.05</v>
      </c>
      <c r="H155" s="3">
        <v>45667</v>
      </c>
      <c r="I155" s="1">
        <v>556.30999999999995</v>
      </c>
      <c r="J155" s="8" t="str">
        <f t="shared" si="4"/>
        <v>Jan-2025</v>
      </c>
      <c r="K155" s="8">
        <f t="shared" si="5"/>
        <v>4162.4400000000005</v>
      </c>
    </row>
    <row r="156" spans="1:11" x14ac:dyDescent="0.3">
      <c r="A156" s="1" t="s">
        <v>58</v>
      </c>
      <c r="B156" s="1" t="s">
        <v>14</v>
      </c>
      <c r="C156" s="1" t="s">
        <v>20</v>
      </c>
      <c r="D156" s="1" t="s">
        <v>27</v>
      </c>
      <c r="E156" s="1">
        <v>1054.56</v>
      </c>
      <c r="F156" s="1">
        <v>11</v>
      </c>
      <c r="G156" s="2">
        <v>0.1</v>
      </c>
      <c r="H156" s="3">
        <v>45669</v>
      </c>
      <c r="I156" s="1">
        <v>332.19</v>
      </c>
      <c r="J156" s="8" t="str">
        <f t="shared" si="4"/>
        <v>Jan-2025</v>
      </c>
      <c r="K156" s="8">
        <f t="shared" si="5"/>
        <v>11611.060000000001</v>
      </c>
    </row>
    <row r="157" spans="1:11" x14ac:dyDescent="0.3">
      <c r="A157" s="1" t="s">
        <v>58</v>
      </c>
      <c r="B157" s="1" t="s">
        <v>23</v>
      </c>
      <c r="C157" s="1" t="s">
        <v>24</v>
      </c>
      <c r="D157" s="1" t="s">
        <v>21</v>
      </c>
      <c r="E157" s="1">
        <v>1681.21</v>
      </c>
      <c r="F157" s="1">
        <v>5</v>
      </c>
      <c r="G157" s="2">
        <v>0.2</v>
      </c>
      <c r="H157" s="3">
        <v>45670</v>
      </c>
      <c r="I157" s="1">
        <v>336.24</v>
      </c>
      <c r="J157" s="8" t="str">
        <f t="shared" si="4"/>
        <v>Jan-2025</v>
      </c>
      <c r="K157" s="8">
        <f t="shared" si="5"/>
        <v>11611.060000000001</v>
      </c>
    </row>
    <row r="158" spans="1:11" x14ac:dyDescent="0.3">
      <c r="A158" s="1" t="s">
        <v>58</v>
      </c>
      <c r="B158" s="1" t="s">
        <v>36</v>
      </c>
      <c r="C158" s="1" t="s">
        <v>11</v>
      </c>
      <c r="D158" s="1" t="s">
        <v>15</v>
      </c>
      <c r="E158" s="1">
        <v>379.77</v>
      </c>
      <c r="F158" s="1">
        <v>9</v>
      </c>
      <c r="G158" s="2">
        <v>0.05</v>
      </c>
      <c r="H158" s="3">
        <v>45673</v>
      </c>
      <c r="I158" s="1">
        <v>180.39</v>
      </c>
      <c r="J158" s="8" t="str">
        <f t="shared" si="4"/>
        <v>Jan-2025</v>
      </c>
      <c r="K158" s="8">
        <f t="shared" si="5"/>
        <v>11611.060000000001</v>
      </c>
    </row>
    <row r="159" spans="1:11" x14ac:dyDescent="0.3">
      <c r="A159" s="1" t="s">
        <v>44</v>
      </c>
      <c r="B159" s="1" t="s">
        <v>45</v>
      </c>
      <c r="C159" s="1" t="s">
        <v>34</v>
      </c>
      <c r="D159" s="1" t="s">
        <v>15</v>
      </c>
      <c r="E159" s="1">
        <v>1076.33</v>
      </c>
      <c r="F159" s="1">
        <v>2</v>
      </c>
      <c r="G159" s="2">
        <v>0.1</v>
      </c>
      <c r="H159" s="3">
        <v>45674</v>
      </c>
      <c r="I159" s="1">
        <v>484.35</v>
      </c>
      <c r="J159" s="8" t="str">
        <f t="shared" si="4"/>
        <v>Jan-2025</v>
      </c>
      <c r="K159" s="8">
        <f t="shared" si="5"/>
        <v>9760.7999999999993</v>
      </c>
    </row>
    <row r="160" spans="1:11" x14ac:dyDescent="0.3">
      <c r="A160" s="1" t="s">
        <v>44</v>
      </c>
      <c r="B160" s="1" t="s">
        <v>31</v>
      </c>
      <c r="C160" s="1" t="s">
        <v>34</v>
      </c>
      <c r="D160" s="1" t="s">
        <v>39</v>
      </c>
      <c r="E160" s="1">
        <v>1250.71</v>
      </c>
      <c r="F160" s="1">
        <v>7</v>
      </c>
      <c r="G160" s="2">
        <v>0</v>
      </c>
      <c r="H160" s="3">
        <v>45674</v>
      </c>
      <c r="I160" s="1">
        <v>562.82000000000005</v>
      </c>
      <c r="J160" s="8" t="str">
        <f t="shared" si="4"/>
        <v>Jan-2025</v>
      </c>
      <c r="K160" s="8">
        <f t="shared" si="5"/>
        <v>9760.7999999999993</v>
      </c>
    </row>
    <row r="161" spans="1:11" x14ac:dyDescent="0.3">
      <c r="A161" s="1" t="s">
        <v>40</v>
      </c>
      <c r="B161" s="1" t="s">
        <v>17</v>
      </c>
      <c r="C161" s="1" t="s">
        <v>20</v>
      </c>
      <c r="D161" s="1" t="s">
        <v>15</v>
      </c>
      <c r="E161" s="1">
        <v>1118.3399999999999</v>
      </c>
      <c r="F161" s="1">
        <v>6</v>
      </c>
      <c r="G161" s="2">
        <v>0.2</v>
      </c>
      <c r="H161" s="3">
        <v>45674</v>
      </c>
      <c r="I161" s="1">
        <v>447.34</v>
      </c>
      <c r="J161" s="8" t="str">
        <f t="shared" si="4"/>
        <v>Jan-2025</v>
      </c>
      <c r="K161" s="8">
        <f t="shared" si="5"/>
        <v>5913.68</v>
      </c>
    </row>
    <row r="162" spans="1:11" x14ac:dyDescent="0.3">
      <c r="A162" s="1" t="s">
        <v>70</v>
      </c>
      <c r="B162" s="1" t="s">
        <v>53</v>
      </c>
      <c r="C162" s="1" t="s">
        <v>24</v>
      </c>
      <c r="D162" s="1" t="s">
        <v>15</v>
      </c>
      <c r="E162" s="1">
        <v>1622.62</v>
      </c>
      <c r="F162" s="1">
        <v>12</v>
      </c>
      <c r="G162" s="2">
        <v>0.2</v>
      </c>
      <c r="H162" s="3">
        <v>45677</v>
      </c>
      <c r="I162" s="1">
        <v>649.04999999999995</v>
      </c>
      <c r="J162" s="8" t="str">
        <f t="shared" si="4"/>
        <v>Jan-2025</v>
      </c>
      <c r="K162" s="8">
        <f t="shared" si="5"/>
        <v>7583.1299999999992</v>
      </c>
    </row>
    <row r="163" spans="1:11" x14ac:dyDescent="0.3">
      <c r="A163" s="1" t="s">
        <v>75</v>
      </c>
      <c r="B163" s="1" t="s">
        <v>48</v>
      </c>
      <c r="C163" s="1" t="s">
        <v>24</v>
      </c>
      <c r="D163" s="1" t="s">
        <v>12</v>
      </c>
      <c r="E163" s="1">
        <v>640.64</v>
      </c>
      <c r="F163" s="1">
        <v>11</v>
      </c>
      <c r="G163" s="2">
        <v>0.2</v>
      </c>
      <c r="H163" s="3">
        <v>45678</v>
      </c>
      <c r="I163" s="1">
        <v>205</v>
      </c>
      <c r="J163" s="8" t="str">
        <f t="shared" si="4"/>
        <v>Jan-2025</v>
      </c>
      <c r="K163" s="8">
        <f t="shared" si="5"/>
        <v>4951.8899999999994</v>
      </c>
    </row>
    <row r="164" spans="1:11" x14ac:dyDescent="0.3">
      <c r="A164" s="1" t="s">
        <v>22</v>
      </c>
      <c r="B164" s="1" t="s">
        <v>43</v>
      </c>
      <c r="C164" s="1" t="s">
        <v>11</v>
      </c>
      <c r="D164" s="1" t="s">
        <v>15</v>
      </c>
      <c r="E164" s="1">
        <v>585.16</v>
      </c>
      <c r="F164" s="1">
        <v>17</v>
      </c>
      <c r="G164" s="2">
        <v>0.1</v>
      </c>
      <c r="H164" s="3">
        <v>45684</v>
      </c>
      <c r="I164" s="1">
        <v>263.32</v>
      </c>
      <c r="J164" s="8" t="str">
        <f t="shared" si="4"/>
        <v>Jan-2025</v>
      </c>
      <c r="K164" s="8">
        <f t="shared" si="5"/>
        <v>7928.71</v>
      </c>
    </row>
    <row r="165" spans="1:11" x14ac:dyDescent="0.3">
      <c r="A165" s="1" t="s">
        <v>22</v>
      </c>
      <c r="B165" s="1" t="s">
        <v>31</v>
      </c>
      <c r="C165" s="1" t="s">
        <v>18</v>
      </c>
      <c r="D165" s="1" t="s">
        <v>15</v>
      </c>
      <c r="E165" s="1">
        <v>1109.98</v>
      </c>
      <c r="F165" s="1">
        <v>5</v>
      </c>
      <c r="G165" s="2">
        <v>0.2</v>
      </c>
      <c r="H165" s="3">
        <v>45690</v>
      </c>
      <c r="I165" s="1">
        <v>443.99</v>
      </c>
      <c r="J165" s="8" t="str">
        <f t="shared" si="4"/>
        <v>Feb-2025</v>
      </c>
      <c r="K165" s="8">
        <f t="shared" si="5"/>
        <v>7928.71</v>
      </c>
    </row>
    <row r="166" spans="1:11" x14ac:dyDescent="0.3">
      <c r="A166" s="1" t="s">
        <v>58</v>
      </c>
      <c r="B166" s="1" t="s">
        <v>45</v>
      </c>
      <c r="C166" s="1" t="s">
        <v>18</v>
      </c>
      <c r="D166" s="1" t="s">
        <v>12</v>
      </c>
      <c r="E166" s="1">
        <v>1098.08</v>
      </c>
      <c r="F166" s="1">
        <v>9</v>
      </c>
      <c r="G166" s="2">
        <v>0.1</v>
      </c>
      <c r="H166" s="3">
        <v>45692</v>
      </c>
      <c r="I166" s="1">
        <v>395.31</v>
      </c>
      <c r="J166" s="8" t="str">
        <f t="shared" si="4"/>
        <v>Feb-2025</v>
      </c>
      <c r="K166" s="8">
        <f t="shared" si="5"/>
        <v>11611.060000000001</v>
      </c>
    </row>
    <row r="167" spans="1:11" x14ac:dyDescent="0.3">
      <c r="A167" s="1" t="s">
        <v>65</v>
      </c>
      <c r="B167" s="1" t="s">
        <v>48</v>
      </c>
      <c r="C167" s="1" t="s">
        <v>11</v>
      </c>
      <c r="D167" s="1" t="s">
        <v>39</v>
      </c>
      <c r="E167" s="1">
        <v>827.25</v>
      </c>
      <c r="F167" s="1">
        <v>7</v>
      </c>
      <c r="G167" s="2">
        <v>0.1</v>
      </c>
      <c r="H167" s="3">
        <v>45693</v>
      </c>
      <c r="I167" s="1">
        <v>335.04</v>
      </c>
      <c r="J167" s="8" t="str">
        <f t="shared" si="4"/>
        <v>Feb-2025</v>
      </c>
      <c r="K167" s="8">
        <f t="shared" si="5"/>
        <v>6481.43</v>
      </c>
    </row>
    <row r="168" spans="1:11" x14ac:dyDescent="0.3">
      <c r="A168" s="1" t="s">
        <v>70</v>
      </c>
      <c r="B168" s="1" t="s">
        <v>29</v>
      </c>
      <c r="C168" s="1" t="s">
        <v>34</v>
      </c>
      <c r="D168" s="1" t="s">
        <v>15</v>
      </c>
      <c r="E168" s="1">
        <v>741.88</v>
      </c>
      <c r="F168" s="1">
        <v>16</v>
      </c>
      <c r="G168" s="2">
        <v>0.1</v>
      </c>
      <c r="H168" s="3">
        <v>45695</v>
      </c>
      <c r="I168" s="1">
        <v>333.85</v>
      </c>
      <c r="J168" s="8" t="str">
        <f t="shared" si="4"/>
        <v>Feb-2025</v>
      </c>
      <c r="K168" s="8">
        <f t="shared" si="5"/>
        <v>7583.1299999999992</v>
      </c>
    </row>
    <row r="169" spans="1:11" x14ac:dyDescent="0.3">
      <c r="A169" s="1" t="s">
        <v>72</v>
      </c>
      <c r="B169" s="1" t="s">
        <v>10</v>
      </c>
      <c r="C169" s="1" t="s">
        <v>18</v>
      </c>
      <c r="D169" s="1" t="s">
        <v>39</v>
      </c>
      <c r="E169" s="1">
        <v>1311.26</v>
      </c>
      <c r="F169" s="1">
        <v>6</v>
      </c>
      <c r="G169" s="2">
        <v>0.1</v>
      </c>
      <c r="H169" s="3">
        <v>45698</v>
      </c>
      <c r="I169" s="1">
        <v>531.05999999999995</v>
      </c>
      <c r="J169" s="8" t="str">
        <f t="shared" si="4"/>
        <v>Feb-2025</v>
      </c>
      <c r="K169" s="8">
        <f t="shared" si="5"/>
        <v>7813.59</v>
      </c>
    </row>
    <row r="170" spans="1:11" x14ac:dyDescent="0.3">
      <c r="A170" s="1" t="s">
        <v>72</v>
      </c>
      <c r="B170" s="1" t="s">
        <v>31</v>
      </c>
      <c r="C170" s="1" t="s">
        <v>20</v>
      </c>
      <c r="D170" s="1" t="s">
        <v>39</v>
      </c>
      <c r="E170" s="1">
        <v>573.32000000000005</v>
      </c>
      <c r="F170" s="1">
        <v>19</v>
      </c>
      <c r="G170" s="2">
        <v>0.1</v>
      </c>
      <c r="H170" s="3">
        <v>45703</v>
      </c>
      <c r="I170" s="1">
        <v>232.19</v>
      </c>
      <c r="J170" s="8" t="str">
        <f t="shared" si="4"/>
        <v>Feb-2025</v>
      </c>
      <c r="K170" s="8">
        <f t="shared" si="5"/>
        <v>7813.59</v>
      </c>
    </row>
    <row r="171" spans="1:11" x14ac:dyDescent="0.3">
      <c r="A171" s="1" t="s">
        <v>52</v>
      </c>
      <c r="B171" s="1" t="s">
        <v>23</v>
      </c>
      <c r="C171" s="1" t="s">
        <v>11</v>
      </c>
      <c r="D171" s="1" t="s">
        <v>21</v>
      </c>
      <c r="E171" s="1">
        <v>1115.22</v>
      </c>
      <c r="F171" s="1">
        <v>14</v>
      </c>
      <c r="G171" s="2">
        <v>0.2</v>
      </c>
      <c r="H171" s="3">
        <v>45705</v>
      </c>
      <c r="I171" s="1">
        <v>223.04</v>
      </c>
      <c r="J171" s="8" t="str">
        <f t="shared" si="4"/>
        <v>Feb-2025</v>
      </c>
      <c r="K171" s="8">
        <f t="shared" si="5"/>
        <v>10293.870000000001</v>
      </c>
    </row>
    <row r="172" spans="1:11" x14ac:dyDescent="0.3">
      <c r="A172" s="1" t="s">
        <v>13</v>
      </c>
      <c r="B172" s="1" t="s">
        <v>45</v>
      </c>
      <c r="C172" s="1" t="s">
        <v>24</v>
      </c>
      <c r="D172" s="1" t="s">
        <v>15</v>
      </c>
      <c r="E172" s="1">
        <v>845.84</v>
      </c>
      <c r="F172" s="1">
        <v>4</v>
      </c>
      <c r="G172" s="2">
        <v>0</v>
      </c>
      <c r="H172" s="3">
        <v>45707</v>
      </c>
      <c r="I172" s="1">
        <v>422.92</v>
      </c>
      <c r="J172" s="8" t="str">
        <f t="shared" si="4"/>
        <v>Feb-2025</v>
      </c>
      <c r="K172" s="8">
        <f t="shared" si="5"/>
        <v>8339</v>
      </c>
    </row>
    <row r="173" spans="1:11" x14ac:dyDescent="0.3">
      <c r="A173" s="1" t="s">
        <v>30</v>
      </c>
      <c r="B173" s="1" t="s">
        <v>55</v>
      </c>
      <c r="C173" s="1" t="s">
        <v>11</v>
      </c>
      <c r="D173" s="1" t="s">
        <v>21</v>
      </c>
      <c r="E173" s="1">
        <v>1029.8</v>
      </c>
      <c r="F173" s="1">
        <v>3</v>
      </c>
      <c r="G173" s="2">
        <v>0</v>
      </c>
      <c r="H173" s="3">
        <v>45708</v>
      </c>
      <c r="I173" s="1">
        <v>257.45</v>
      </c>
      <c r="J173" s="8" t="str">
        <f t="shared" si="4"/>
        <v>Feb-2025</v>
      </c>
      <c r="K173" s="8">
        <f t="shared" si="5"/>
        <v>9371.81</v>
      </c>
    </row>
    <row r="174" spans="1:11" x14ac:dyDescent="0.3">
      <c r="A174" s="1" t="s">
        <v>32</v>
      </c>
      <c r="B174" s="1" t="s">
        <v>31</v>
      </c>
      <c r="C174" s="1" t="s">
        <v>24</v>
      </c>
      <c r="D174" s="1" t="s">
        <v>12</v>
      </c>
      <c r="E174" s="1">
        <v>1189.83</v>
      </c>
      <c r="F174" s="1">
        <v>2</v>
      </c>
      <c r="G174" s="2">
        <v>0.2</v>
      </c>
      <c r="H174" s="3">
        <v>45709</v>
      </c>
      <c r="I174" s="1">
        <v>380.75</v>
      </c>
      <c r="J174" s="8" t="str">
        <f t="shared" si="4"/>
        <v>Feb-2025</v>
      </c>
      <c r="K174" s="8">
        <f t="shared" si="5"/>
        <v>6505.2</v>
      </c>
    </row>
    <row r="175" spans="1:11" x14ac:dyDescent="0.3">
      <c r="A175" s="1" t="s">
        <v>67</v>
      </c>
      <c r="B175" s="1" t="s">
        <v>43</v>
      </c>
      <c r="C175" s="1" t="s">
        <v>20</v>
      </c>
      <c r="D175" s="1" t="s">
        <v>12</v>
      </c>
      <c r="E175" s="1">
        <v>704.28</v>
      </c>
      <c r="F175" s="1">
        <v>15</v>
      </c>
      <c r="G175" s="2">
        <v>0.2</v>
      </c>
      <c r="H175" s="3">
        <v>45712</v>
      </c>
      <c r="I175" s="1">
        <v>225.37</v>
      </c>
      <c r="J175" s="8" t="str">
        <f t="shared" si="4"/>
        <v>Feb-2025</v>
      </c>
      <c r="K175" s="8">
        <f t="shared" si="5"/>
        <v>8490.18</v>
      </c>
    </row>
    <row r="176" spans="1:11" x14ac:dyDescent="0.3">
      <c r="A176" s="1" t="s">
        <v>65</v>
      </c>
      <c r="B176" s="1" t="s">
        <v>47</v>
      </c>
      <c r="C176" s="1" t="s">
        <v>34</v>
      </c>
      <c r="D176" s="1" t="s">
        <v>39</v>
      </c>
      <c r="E176" s="1">
        <v>1618.22</v>
      </c>
      <c r="F176" s="1">
        <v>12</v>
      </c>
      <c r="G176" s="2">
        <v>0.2</v>
      </c>
      <c r="H176" s="3">
        <v>45712</v>
      </c>
      <c r="I176" s="1">
        <v>582.55999999999995</v>
      </c>
      <c r="J176" s="8" t="str">
        <f t="shared" si="4"/>
        <v>Feb-2025</v>
      </c>
      <c r="K176" s="8">
        <f t="shared" si="5"/>
        <v>6481.43</v>
      </c>
    </row>
    <row r="177" spans="1:11" x14ac:dyDescent="0.3">
      <c r="A177" s="1" t="s">
        <v>73</v>
      </c>
      <c r="B177" s="1" t="s">
        <v>53</v>
      </c>
      <c r="C177" s="1" t="s">
        <v>34</v>
      </c>
      <c r="D177" s="1" t="s">
        <v>12</v>
      </c>
      <c r="E177" s="1">
        <v>1014.43</v>
      </c>
      <c r="F177" s="1">
        <v>2</v>
      </c>
      <c r="G177" s="2">
        <v>0.15</v>
      </c>
      <c r="H177" s="3">
        <v>45713</v>
      </c>
      <c r="I177" s="1">
        <v>344.91</v>
      </c>
      <c r="J177" s="8" t="str">
        <f t="shared" si="4"/>
        <v>Feb-2025</v>
      </c>
      <c r="K177" s="8">
        <f t="shared" si="5"/>
        <v>4162.4400000000005</v>
      </c>
    </row>
    <row r="178" spans="1:11" x14ac:dyDescent="0.3">
      <c r="A178" s="1" t="s">
        <v>75</v>
      </c>
      <c r="B178" s="1" t="s">
        <v>31</v>
      </c>
      <c r="C178" s="1" t="s">
        <v>34</v>
      </c>
      <c r="D178" s="1" t="s">
        <v>15</v>
      </c>
      <c r="E178" s="1">
        <v>826.97</v>
      </c>
      <c r="F178" s="1">
        <v>18</v>
      </c>
      <c r="G178" s="2">
        <v>0.2</v>
      </c>
      <c r="H178" s="3">
        <v>45715</v>
      </c>
      <c r="I178" s="1">
        <v>330.79</v>
      </c>
      <c r="J178" s="8" t="str">
        <f t="shared" si="4"/>
        <v>Feb-2025</v>
      </c>
      <c r="K178" s="8">
        <f t="shared" si="5"/>
        <v>4951.8899999999994</v>
      </c>
    </row>
    <row r="179" spans="1:11" x14ac:dyDescent="0.3">
      <c r="A179" s="1" t="s">
        <v>16</v>
      </c>
      <c r="B179" s="1" t="s">
        <v>31</v>
      </c>
      <c r="C179" s="1" t="s">
        <v>34</v>
      </c>
      <c r="D179" s="1" t="s">
        <v>15</v>
      </c>
      <c r="E179" s="1">
        <v>1022.23</v>
      </c>
      <c r="F179" s="1">
        <v>8</v>
      </c>
      <c r="G179" s="2">
        <v>0.1</v>
      </c>
      <c r="H179" s="3">
        <v>45717</v>
      </c>
      <c r="I179" s="1">
        <v>460</v>
      </c>
      <c r="J179" s="8" t="str">
        <f t="shared" si="4"/>
        <v>Mar-2025</v>
      </c>
      <c r="K179" s="8">
        <f t="shared" si="5"/>
        <v>3419.2</v>
      </c>
    </row>
    <row r="180" spans="1:11" x14ac:dyDescent="0.3">
      <c r="A180" s="1" t="s">
        <v>72</v>
      </c>
      <c r="B180" s="1" t="s">
        <v>29</v>
      </c>
      <c r="C180" s="1" t="s">
        <v>18</v>
      </c>
      <c r="D180" s="1" t="s">
        <v>12</v>
      </c>
      <c r="E180" s="1">
        <v>1099.69</v>
      </c>
      <c r="F180" s="1">
        <v>6</v>
      </c>
      <c r="G180" s="2">
        <v>0</v>
      </c>
      <c r="H180" s="3">
        <v>45718</v>
      </c>
      <c r="I180" s="1">
        <v>439.88</v>
      </c>
      <c r="J180" s="8" t="str">
        <f t="shared" si="4"/>
        <v>Mar-2025</v>
      </c>
      <c r="K180" s="8">
        <f t="shared" si="5"/>
        <v>7813.59</v>
      </c>
    </row>
    <row r="181" spans="1:11" x14ac:dyDescent="0.3">
      <c r="A181" s="1" t="s">
        <v>52</v>
      </c>
      <c r="B181" s="1" t="s">
        <v>64</v>
      </c>
      <c r="C181" s="1" t="s">
        <v>24</v>
      </c>
      <c r="D181" s="1" t="s">
        <v>12</v>
      </c>
      <c r="E181" s="1">
        <v>710.52</v>
      </c>
      <c r="F181" s="1">
        <v>8</v>
      </c>
      <c r="G181" s="2">
        <v>0.1</v>
      </c>
      <c r="H181" s="3">
        <v>45721</v>
      </c>
      <c r="I181" s="1">
        <v>255.79</v>
      </c>
      <c r="J181" s="8" t="str">
        <f t="shared" si="4"/>
        <v>Mar-2025</v>
      </c>
      <c r="K181" s="8">
        <f t="shared" si="5"/>
        <v>10293.870000000001</v>
      </c>
    </row>
    <row r="182" spans="1:11" x14ac:dyDescent="0.3">
      <c r="A182" s="1" t="s">
        <v>52</v>
      </c>
      <c r="B182" s="1" t="s">
        <v>59</v>
      </c>
      <c r="C182" s="1" t="s">
        <v>24</v>
      </c>
      <c r="D182" s="1" t="s">
        <v>12</v>
      </c>
      <c r="E182" s="1">
        <v>499.18</v>
      </c>
      <c r="F182" s="1">
        <v>15</v>
      </c>
      <c r="G182" s="2">
        <v>0.2</v>
      </c>
      <c r="H182" s="3">
        <v>45724</v>
      </c>
      <c r="I182" s="1">
        <v>159.74</v>
      </c>
      <c r="J182" s="8" t="str">
        <f t="shared" si="4"/>
        <v>Mar-2025</v>
      </c>
      <c r="K182" s="8">
        <f t="shared" si="5"/>
        <v>10293.870000000001</v>
      </c>
    </row>
    <row r="183" spans="1:11" x14ac:dyDescent="0.3">
      <c r="A183" s="1" t="s">
        <v>37</v>
      </c>
      <c r="B183" s="1" t="s">
        <v>38</v>
      </c>
      <c r="C183" s="1" t="s">
        <v>20</v>
      </c>
      <c r="D183" s="1" t="s">
        <v>12</v>
      </c>
      <c r="E183" s="1">
        <v>1064.19</v>
      </c>
      <c r="F183" s="1">
        <v>18</v>
      </c>
      <c r="G183" s="2">
        <v>0.05</v>
      </c>
      <c r="H183" s="3">
        <v>45725</v>
      </c>
      <c r="I183" s="1">
        <v>404.39</v>
      </c>
      <c r="J183" s="8" t="str">
        <f t="shared" si="4"/>
        <v>Mar-2025</v>
      </c>
      <c r="K183" s="8">
        <f t="shared" si="5"/>
        <v>6729.8899999999994</v>
      </c>
    </row>
    <row r="184" spans="1:11" x14ac:dyDescent="0.3">
      <c r="A184" s="1" t="s">
        <v>67</v>
      </c>
      <c r="B184" s="1" t="s">
        <v>38</v>
      </c>
      <c r="C184" s="1" t="s">
        <v>18</v>
      </c>
      <c r="D184" s="1" t="s">
        <v>39</v>
      </c>
      <c r="E184" s="1">
        <v>438.76</v>
      </c>
      <c r="F184" s="1">
        <v>18</v>
      </c>
      <c r="G184" s="2">
        <v>0.05</v>
      </c>
      <c r="H184" s="3">
        <v>45726</v>
      </c>
      <c r="I184" s="1">
        <v>187.57</v>
      </c>
      <c r="J184" s="8" t="str">
        <f t="shared" si="4"/>
        <v>Mar-2025</v>
      </c>
      <c r="K184" s="8">
        <f t="shared" si="5"/>
        <v>8490.18</v>
      </c>
    </row>
    <row r="185" spans="1:11" x14ac:dyDescent="0.3">
      <c r="A185" s="1" t="s">
        <v>41</v>
      </c>
      <c r="B185" s="1" t="s">
        <v>55</v>
      </c>
      <c r="C185" s="1" t="s">
        <v>11</v>
      </c>
      <c r="D185" s="1" t="s">
        <v>15</v>
      </c>
      <c r="E185" s="1">
        <v>864.98</v>
      </c>
      <c r="F185" s="1">
        <v>2</v>
      </c>
      <c r="G185" s="2">
        <v>0.05</v>
      </c>
      <c r="H185" s="3">
        <v>45727</v>
      </c>
      <c r="I185" s="1">
        <v>410.87</v>
      </c>
      <c r="J185" s="8" t="str">
        <f t="shared" si="4"/>
        <v>Mar-2025</v>
      </c>
      <c r="K185" s="8">
        <f t="shared" si="5"/>
        <v>5779.05</v>
      </c>
    </row>
    <row r="186" spans="1:11" x14ac:dyDescent="0.3">
      <c r="A186" s="1" t="s">
        <v>57</v>
      </c>
      <c r="B186" s="1" t="s">
        <v>55</v>
      </c>
      <c r="C186" s="1" t="s">
        <v>11</v>
      </c>
      <c r="D186" s="1" t="s">
        <v>27</v>
      </c>
      <c r="E186" s="1">
        <v>984.93</v>
      </c>
      <c r="F186" s="1">
        <v>14</v>
      </c>
      <c r="G186" s="2">
        <v>0.2</v>
      </c>
      <c r="H186" s="3">
        <v>45733</v>
      </c>
      <c r="I186" s="1">
        <v>275.77999999999997</v>
      </c>
      <c r="J186" s="8" t="str">
        <f t="shared" si="4"/>
        <v>Mar-2025</v>
      </c>
      <c r="K186" s="8">
        <f t="shared" si="5"/>
        <v>8740.18</v>
      </c>
    </row>
    <row r="187" spans="1:11" x14ac:dyDescent="0.3">
      <c r="A187" s="1" t="s">
        <v>25</v>
      </c>
      <c r="B187" s="1" t="s">
        <v>55</v>
      </c>
      <c r="C187" s="1" t="s">
        <v>11</v>
      </c>
      <c r="D187" s="1" t="s">
        <v>15</v>
      </c>
      <c r="E187" s="1">
        <v>1493.49</v>
      </c>
      <c r="F187" s="1">
        <v>18</v>
      </c>
      <c r="G187" s="2">
        <v>0</v>
      </c>
      <c r="H187" s="3">
        <v>45734</v>
      </c>
      <c r="I187" s="1">
        <v>746.74</v>
      </c>
      <c r="J187" s="8" t="str">
        <f t="shared" si="4"/>
        <v>Mar-2025</v>
      </c>
      <c r="K187" s="8">
        <f t="shared" si="5"/>
        <v>9941.8799999999992</v>
      </c>
    </row>
    <row r="188" spans="1:11" x14ac:dyDescent="0.3">
      <c r="A188" s="1" t="s">
        <v>32</v>
      </c>
      <c r="B188" s="1" t="s">
        <v>53</v>
      </c>
      <c r="C188" s="1" t="s">
        <v>20</v>
      </c>
      <c r="D188" s="1" t="s">
        <v>15</v>
      </c>
      <c r="E188" s="1">
        <v>689.43</v>
      </c>
      <c r="F188" s="1">
        <v>9</v>
      </c>
      <c r="G188" s="2">
        <v>0.1</v>
      </c>
      <c r="H188" s="3">
        <v>45736</v>
      </c>
      <c r="I188" s="1">
        <v>310.24</v>
      </c>
      <c r="J188" s="8" t="str">
        <f t="shared" si="4"/>
        <v>Mar-2025</v>
      </c>
      <c r="K188" s="8">
        <f t="shared" si="5"/>
        <v>6505.2</v>
      </c>
    </row>
    <row r="189" spans="1:11" x14ac:dyDescent="0.3">
      <c r="A189" s="1" t="s">
        <v>40</v>
      </c>
      <c r="B189" s="1" t="s">
        <v>59</v>
      </c>
      <c r="C189" s="1" t="s">
        <v>20</v>
      </c>
      <c r="D189" s="1" t="s">
        <v>15</v>
      </c>
      <c r="E189" s="1">
        <v>682.24</v>
      </c>
      <c r="F189" s="1">
        <v>1</v>
      </c>
      <c r="G189" s="2">
        <v>0</v>
      </c>
      <c r="H189" s="3">
        <v>45738</v>
      </c>
      <c r="I189" s="1">
        <v>341.12</v>
      </c>
      <c r="J189" s="8" t="str">
        <f t="shared" si="4"/>
        <v>Mar-2025</v>
      </c>
      <c r="K189" s="8">
        <f t="shared" si="5"/>
        <v>5913.68</v>
      </c>
    </row>
    <row r="190" spans="1:11" x14ac:dyDescent="0.3">
      <c r="A190" s="1" t="s">
        <v>41</v>
      </c>
      <c r="B190" s="1" t="s">
        <v>26</v>
      </c>
      <c r="C190" s="1" t="s">
        <v>24</v>
      </c>
      <c r="D190" s="1" t="s">
        <v>21</v>
      </c>
      <c r="E190" s="1">
        <v>458.54</v>
      </c>
      <c r="F190" s="1">
        <v>15</v>
      </c>
      <c r="G190" s="2">
        <v>0.2</v>
      </c>
      <c r="H190" s="3">
        <v>45741</v>
      </c>
      <c r="I190" s="1">
        <v>91.71</v>
      </c>
      <c r="J190" s="8" t="str">
        <f t="shared" si="4"/>
        <v>Mar-2025</v>
      </c>
      <c r="K190" s="8">
        <f t="shared" si="5"/>
        <v>5779.05</v>
      </c>
    </row>
    <row r="191" spans="1:11" x14ac:dyDescent="0.3">
      <c r="A191" s="1" t="s">
        <v>32</v>
      </c>
      <c r="B191" s="1" t="s">
        <v>26</v>
      </c>
      <c r="C191" s="1" t="s">
        <v>20</v>
      </c>
      <c r="D191" s="1" t="s">
        <v>27</v>
      </c>
      <c r="E191" s="1">
        <v>1184.25</v>
      </c>
      <c r="F191" s="1">
        <v>11</v>
      </c>
      <c r="G191" s="2">
        <v>0.2</v>
      </c>
      <c r="H191" s="3">
        <v>45742</v>
      </c>
      <c r="I191" s="1">
        <v>331.59</v>
      </c>
      <c r="J191" s="8" t="str">
        <f t="shared" si="4"/>
        <v>Mar-2025</v>
      </c>
      <c r="K191" s="8">
        <f t="shared" si="5"/>
        <v>6505.2</v>
      </c>
    </row>
    <row r="192" spans="1:11" x14ac:dyDescent="0.3">
      <c r="A192" s="1" t="s">
        <v>25</v>
      </c>
      <c r="B192" s="1" t="s">
        <v>10</v>
      </c>
      <c r="C192" s="1" t="s">
        <v>20</v>
      </c>
      <c r="D192" s="1" t="s">
        <v>15</v>
      </c>
      <c r="E192" s="1">
        <v>762.14</v>
      </c>
      <c r="F192" s="1">
        <v>9</v>
      </c>
      <c r="G192" s="2">
        <v>0</v>
      </c>
      <c r="H192" s="3">
        <v>45743</v>
      </c>
      <c r="I192" s="1">
        <v>381.07</v>
      </c>
      <c r="J192" s="8" t="str">
        <f t="shared" si="4"/>
        <v>Mar-2025</v>
      </c>
      <c r="K192" s="8">
        <f t="shared" si="5"/>
        <v>9941.8799999999992</v>
      </c>
    </row>
    <row r="193" spans="1:11" x14ac:dyDescent="0.3">
      <c r="A193" s="1" t="s">
        <v>22</v>
      </c>
      <c r="B193" s="1" t="s">
        <v>53</v>
      </c>
      <c r="C193" s="1" t="s">
        <v>24</v>
      </c>
      <c r="D193" s="1" t="s">
        <v>12</v>
      </c>
      <c r="E193" s="1">
        <v>750.71</v>
      </c>
      <c r="F193" s="1">
        <v>10</v>
      </c>
      <c r="G193" s="2">
        <v>0.15</v>
      </c>
      <c r="H193" s="3">
        <v>45743</v>
      </c>
      <c r="I193" s="1">
        <v>255.24</v>
      </c>
      <c r="J193" s="8" t="str">
        <f t="shared" si="4"/>
        <v>Mar-2025</v>
      </c>
      <c r="K193" s="8">
        <f t="shared" si="5"/>
        <v>7928.71</v>
      </c>
    </row>
    <row r="194" spans="1:11" x14ac:dyDescent="0.3">
      <c r="A194" s="1" t="s">
        <v>75</v>
      </c>
      <c r="B194" s="1" t="s">
        <v>71</v>
      </c>
      <c r="C194" s="1" t="s">
        <v>34</v>
      </c>
      <c r="D194" s="1" t="s">
        <v>15</v>
      </c>
      <c r="E194" s="1">
        <v>1456.94</v>
      </c>
      <c r="F194" s="1">
        <v>14</v>
      </c>
      <c r="G194" s="2">
        <v>0.05</v>
      </c>
      <c r="H194" s="3">
        <v>45745</v>
      </c>
      <c r="I194" s="1">
        <v>692.05</v>
      </c>
      <c r="J194" s="8" t="str">
        <f t="shared" si="4"/>
        <v>Mar-2025</v>
      </c>
      <c r="K194" s="8">
        <f t="shared" si="5"/>
        <v>4951.8899999999994</v>
      </c>
    </row>
    <row r="195" spans="1:11" x14ac:dyDescent="0.3">
      <c r="A195" s="1" t="s">
        <v>44</v>
      </c>
      <c r="B195" s="1" t="s">
        <v>61</v>
      </c>
      <c r="C195" s="1" t="s">
        <v>18</v>
      </c>
      <c r="D195" s="1" t="s">
        <v>27</v>
      </c>
      <c r="E195" s="1">
        <v>1093.3800000000001</v>
      </c>
      <c r="F195" s="1">
        <v>17</v>
      </c>
      <c r="G195" s="2">
        <v>0.1</v>
      </c>
      <c r="H195" s="3">
        <v>45745</v>
      </c>
      <c r="I195" s="1">
        <v>344.41</v>
      </c>
      <c r="J195" s="8" t="str">
        <f t="shared" ref="J195:J201" si="6">TEXT(H195,"mmm-yyy")</f>
        <v>Mar-2025</v>
      </c>
      <c r="K195" s="8">
        <f t="shared" ref="K195:K201" si="7">SUMIFS($E:$E,$A:$A,A195)</f>
        <v>9760.7999999999993</v>
      </c>
    </row>
    <row r="196" spans="1:11" x14ac:dyDescent="0.3">
      <c r="A196" s="1" t="s">
        <v>37</v>
      </c>
      <c r="B196" s="1" t="s">
        <v>43</v>
      </c>
      <c r="C196" s="1" t="s">
        <v>11</v>
      </c>
      <c r="D196" s="1" t="s">
        <v>15</v>
      </c>
      <c r="E196" s="1">
        <v>934.27</v>
      </c>
      <c r="F196" s="1">
        <v>8</v>
      </c>
      <c r="G196" s="2">
        <v>0.15</v>
      </c>
      <c r="H196" s="3">
        <v>45746</v>
      </c>
      <c r="I196" s="1">
        <v>397.06</v>
      </c>
      <c r="J196" s="8" t="str">
        <f t="shared" si="6"/>
        <v>Mar-2025</v>
      </c>
      <c r="K196" s="8">
        <f t="shared" si="7"/>
        <v>6729.8899999999994</v>
      </c>
    </row>
    <row r="197" spans="1:11" x14ac:dyDescent="0.3">
      <c r="A197" s="1" t="s">
        <v>70</v>
      </c>
      <c r="B197" s="1" t="s">
        <v>36</v>
      </c>
      <c r="C197" s="1" t="s">
        <v>34</v>
      </c>
      <c r="D197" s="1" t="s">
        <v>15</v>
      </c>
      <c r="E197" s="1">
        <v>1465.35</v>
      </c>
      <c r="F197" s="1">
        <v>8</v>
      </c>
      <c r="G197" s="2">
        <v>0.2</v>
      </c>
      <c r="H197" s="3">
        <v>45746</v>
      </c>
      <c r="I197" s="1">
        <v>586.14</v>
      </c>
      <c r="J197" s="8" t="str">
        <f t="shared" si="6"/>
        <v>Mar-2025</v>
      </c>
      <c r="K197" s="8">
        <f t="shared" si="7"/>
        <v>7583.1299999999992</v>
      </c>
    </row>
    <row r="198" spans="1:11" x14ac:dyDescent="0.3">
      <c r="A198" s="1" t="s">
        <v>52</v>
      </c>
      <c r="B198" s="1" t="s">
        <v>14</v>
      </c>
      <c r="C198" s="1" t="s">
        <v>20</v>
      </c>
      <c r="D198" s="1" t="s">
        <v>39</v>
      </c>
      <c r="E198" s="1">
        <v>740.8</v>
      </c>
      <c r="F198" s="1">
        <v>3</v>
      </c>
      <c r="G198" s="2">
        <v>0</v>
      </c>
      <c r="H198" s="3">
        <v>45749</v>
      </c>
      <c r="I198" s="1">
        <v>333.36</v>
      </c>
      <c r="J198" s="8" t="str">
        <f t="shared" si="6"/>
        <v>Apr-2025</v>
      </c>
      <c r="K198" s="8">
        <f t="shared" si="7"/>
        <v>10293.870000000001</v>
      </c>
    </row>
    <row r="199" spans="1:11" x14ac:dyDescent="0.3">
      <c r="A199" s="1" t="s">
        <v>58</v>
      </c>
      <c r="B199" s="1" t="s">
        <v>43</v>
      </c>
      <c r="C199" s="1" t="s">
        <v>11</v>
      </c>
      <c r="D199" s="1" t="s">
        <v>39</v>
      </c>
      <c r="E199" s="1">
        <v>545.44000000000005</v>
      </c>
      <c r="F199" s="1">
        <v>17</v>
      </c>
      <c r="G199" s="2">
        <v>0</v>
      </c>
      <c r="H199" s="3">
        <v>45752</v>
      </c>
      <c r="I199" s="1">
        <v>245.45</v>
      </c>
      <c r="J199" s="8" t="str">
        <f t="shared" si="6"/>
        <v>Apr-2025</v>
      </c>
      <c r="K199" s="8">
        <f t="shared" si="7"/>
        <v>11611.060000000001</v>
      </c>
    </row>
    <row r="200" spans="1:11" x14ac:dyDescent="0.3">
      <c r="A200" s="1" t="s">
        <v>35</v>
      </c>
      <c r="B200" s="1" t="s">
        <v>36</v>
      </c>
      <c r="C200" s="1" t="s">
        <v>18</v>
      </c>
      <c r="D200" s="1" t="s">
        <v>12</v>
      </c>
      <c r="E200" s="1">
        <v>997.61</v>
      </c>
      <c r="F200" s="1">
        <v>8</v>
      </c>
      <c r="G200" s="2">
        <v>0.05</v>
      </c>
      <c r="H200" s="3">
        <v>45752</v>
      </c>
      <c r="I200" s="1">
        <v>379.09</v>
      </c>
      <c r="J200" s="8" t="str">
        <f t="shared" si="6"/>
        <v>Apr-2025</v>
      </c>
      <c r="K200" s="8">
        <f t="shared" si="7"/>
        <v>4259.22</v>
      </c>
    </row>
    <row r="201" spans="1:11" x14ac:dyDescent="0.3">
      <c r="A201" s="1" t="s">
        <v>60</v>
      </c>
      <c r="B201" s="1" t="s">
        <v>36</v>
      </c>
      <c r="C201" s="1" t="s">
        <v>20</v>
      </c>
      <c r="D201" s="1" t="s">
        <v>15</v>
      </c>
      <c r="E201" s="1">
        <v>928.32</v>
      </c>
      <c r="F201" s="1">
        <v>2</v>
      </c>
      <c r="G201" s="2">
        <v>0.05</v>
      </c>
      <c r="H201" s="3">
        <v>45754</v>
      </c>
      <c r="I201" s="1">
        <v>440.95</v>
      </c>
      <c r="J201" s="8" t="str">
        <f t="shared" si="6"/>
        <v>Apr-2025</v>
      </c>
      <c r="K201" s="8">
        <f t="shared" si="7"/>
        <v>3369.17</v>
      </c>
    </row>
  </sheetData>
  <mergeCells count="1">
    <mergeCell ref="O27:P27"/>
  </mergeCells>
  <conditionalFormatting sqref="B1:B201">
    <cfRule type="top10" dxfId="4" priority="1" rank="10"/>
    <cfRule type="top10" dxfId="3" priority="3" rank="10"/>
    <cfRule type="top10" dxfId="2" priority="5" rank="10"/>
  </conditionalFormatting>
  <conditionalFormatting sqref="B2:B201">
    <cfRule type="top10" dxfId="1" priority="4" rank="10"/>
  </conditionalFormatting>
  <conditionalFormatting sqref="C3:C8">
    <cfRule type="top10" dxfId="0" priority="2" percent="1" rank="1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84AA-184B-4834-A8AA-DCCBB166F76A}">
  <dimension ref="B4:H11"/>
  <sheetViews>
    <sheetView zoomScale="105" zoomScaleNormal="105" workbookViewId="0">
      <selection activeCell="C15" sqref="C15"/>
    </sheetView>
  </sheetViews>
  <sheetFormatPr defaultRowHeight="14.4" x14ac:dyDescent="0.3"/>
  <cols>
    <col min="1" max="2" width="12.5546875" bestFit="1" customWidth="1"/>
    <col min="3" max="3" width="15.5546875" bestFit="1" customWidth="1"/>
    <col min="4" max="6" width="11.77734375" bestFit="1" customWidth="1"/>
    <col min="7" max="7" width="13.5546875" bestFit="1" customWidth="1"/>
    <col min="8" max="8" width="13.109375" bestFit="1" customWidth="1"/>
    <col min="9" max="25" width="7" bestFit="1" customWidth="1"/>
    <col min="26" max="26" width="6" bestFit="1" customWidth="1"/>
    <col min="27" max="34" width="7" bestFit="1" customWidth="1"/>
    <col min="35" max="35" width="6" bestFit="1" customWidth="1"/>
    <col min="36" max="42" width="7" bestFit="1" customWidth="1"/>
    <col min="43" max="43" width="6" bestFit="1" customWidth="1"/>
    <col min="44" max="49" width="7" bestFit="1" customWidth="1"/>
    <col min="50" max="50" width="6" bestFit="1" customWidth="1"/>
    <col min="51" max="51" width="7" bestFit="1" customWidth="1"/>
    <col min="52" max="52" width="10.77734375" bestFit="1" customWidth="1"/>
    <col min="53" max="53" width="10" bestFit="1" customWidth="1"/>
    <col min="54" max="74" width="7" bestFit="1" customWidth="1"/>
    <col min="75" max="75" width="6" bestFit="1" customWidth="1"/>
    <col min="76" max="76" width="4" bestFit="1" customWidth="1"/>
    <col min="77" max="79" width="7" bestFit="1" customWidth="1"/>
    <col min="80" max="80" width="4" bestFit="1" customWidth="1"/>
    <col min="81" max="82" width="7" bestFit="1" customWidth="1"/>
    <col min="83" max="83" width="6" bestFit="1" customWidth="1"/>
    <col min="84" max="85" width="7" bestFit="1" customWidth="1"/>
    <col min="86" max="86" width="6" bestFit="1" customWidth="1"/>
    <col min="87" max="88" width="7" bestFit="1" customWidth="1"/>
    <col min="89" max="89" width="6" bestFit="1" customWidth="1"/>
    <col min="90" max="93" width="7" bestFit="1" customWidth="1"/>
    <col min="94" max="94" width="12.6640625" bestFit="1" customWidth="1"/>
    <col min="95" max="95" width="12" bestFit="1" customWidth="1"/>
    <col min="96" max="98" width="6" bestFit="1" customWidth="1"/>
    <col min="99" max="104" width="7" bestFit="1" customWidth="1"/>
    <col min="105" max="105" width="6" bestFit="1" customWidth="1"/>
    <col min="106" max="123" width="7" bestFit="1" customWidth="1"/>
    <col min="124" max="124" width="6" bestFit="1" customWidth="1"/>
    <col min="125" max="137" width="7" bestFit="1" customWidth="1"/>
    <col min="138" max="138" width="14.77734375" bestFit="1" customWidth="1"/>
    <col min="139" max="139" width="10.6640625" bestFit="1" customWidth="1"/>
    <col min="140" max="146" width="7" bestFit="1" customWidth="1"/>
    <col min="147" max="147" width="4" bestFit="1" customWidth="1"/>
    <col min="148" max="154" width="7" bestFit="1" customWidth="1"/>
    <col min="155" max="155" width="6" bestFit="1" customWidth="1"/>
    <col min="156" max="156" width="7" bestFit="1" customWidth="1"/>
    <col min="157" max="157" width="6" bestFit="1" customWidth="1"/>
    <col min="158" max="163" width="7" bestFit="1" customWidth="1"/>
    <col min="164" max="164" width="6" bestFit="1" customWidth="1"/>
    <col min="165" max="174" width="7" bestFit="1" customWidth="1"/>
    <col min="175" max="175" width="13.44140625" bestFit="1" customWidth="1"/>
    <col min="176" max="176" width="15.5546875" bestFit="1" customWidth="1"/>
    <col min="177" max="188" width="7" bestFit="1" customWidth="1"/>
    <col min="189" max="189" width="6" bestFit="1" customWidth="1"/>
    <col min="190" max="193" width="7" bestFit="1" customWidth="1"/>
    <col min="194" max="194" width="6" bestFit="1" customWidth="1"/>
    <col min="195" max="199" width="7" bestFit="1" customWidth="1"/>
    <col min="200" max="200" width="6" bestFit="1" customWidth="1"/>
    <col min="201" max="206" width="7" bestFit="1" customWidth="1"/>
    <col min="207" max="207" width="18.33203125" bestFit="1" customWidth="1"/>
    <col min="208" max="208" width="10.77734375" bestFit="1" customWidth="1"/>
  </cols>
  <sheetData>
    <row r="4" spans="2:8" x14ac:dyDescent="0.3">
      <c r="B4" s="20" t="s">
        <v>140</v>
      </c>
      <c r="C4" s="20" t="s">
        <v>147</v>
      </c>
    </row>
    <row r="5" spans="2:8" x14ac:dyDescent="0.3">
      <c r="B5" s="20" t="s">
        <v>125</v>
      </c>
      <c r="C5" t="s">
        <v>12</v>
      </c>
      <c r="D5" t="s">
        <v>15</v>
      </c>
      <c r="E5" t="s">
        <v>21</v>
      </c>
      <c r="F5" t="s">
        <v>27</v>
      </c>
      <c r="G5" t="s">
        <v>39</v>
      </c>
      <c r="H5" t="s">
        <v>126</v>
      </c>
    </row>
    <row r="6" spans="2:8" x14ac:dyDescent="0.3">
      <c r="B6" s="21" t="s">
        <v>34</v>
      </c>
      <c r="C6" s="25">
        <v>11297.150000000001</v>
      </c>
      <c r="D6" s="25">
        <v>12200.26</v>
      </c>
      <c r="E6" s="25">
        <v>6621.24</v>
      </c>
      <c r="F6" s="25">
        <v>4876.96</v>
      </c>
      <c r="G6" s="25">
        <v>8472.7199999999993</v>
      </c>
      <c r="H6" s="25">
        <v>43468.33</v>
      </c>
    </row>
    <row r="7" spans="2:8" x14ac:dyDescent="0.3">
      <c r="B7" s="21" t="s">
        <v>18</v>
      </c>
      <c r="C7" s="25">
        <v>11389.090000000002</v>
      </c>
      <c r="D7" s="25">
        <v>2401.4499999999998</v>
      </c>
      <c r="E7" s="25">
        <v>2869.54</v>
      </c>
      <c r="F7" s="25">
        <v>7592.3399999999992</v>
      </c>
      <c r="G7" s="25">
        <v>8189.2200000000012</v>
      </c>
      <c r="H7" s="25">
        <v>32441.640000000003</v>
      </c>
    </row>
    <row r="8" spans="2:8" x14ac:dyDescent="0.3">
      <c r="B8" s="21" t="s">
        <v>24</v>
      </c>
      <c r="C8" s="25">
        <v>8037.0100000000011</v>
      </c>
      <c r="D8" s="25">
        <v>8422.82</v>
      </c>
      <c r="E8" s="25">
        <v>8191.7099999999991</v>
      </c>
      <c r="F8" s="25">
        <v>6978.08</v>
      </c>
      <c r="G8" s="25">
        <v>3345.8</v>
      </c>
      <c r="H8" s="25">
        <v>34975.420000000006</v>
      </c>
    </row>
    <row r="9" spans="2:8" x14ac:dyDescent="0.3">
      <c r="B9" s="21" t="s">
        <v>20</v>
      </c>
      <c r="C9" s="25">
        <v>9588.0400000000009</v>
      </c>
      <c r="D9" s="25">
        <v>8393.630000000001</v>
      </c>
      <c r="E9" s="25">
        <v>11989.070000000003</v>
      </c>
      <c r="F9" s="25">
        <v>7982.73</v>
      </c>
      <c r="G9" s="25">
        <v>2295.3199999999997</v>
      </c>
      <c r="H9" s="25">
        <v>40248.79</v>
      </c>
    </row>
    <row r="10" spans="2:8" x14ac:dyDescent="0.3">
      <c r="B10" s="21" t="s">
        <v>11</v>
      </c>
      <c r="C10" s="25">
        <v>6691.17</v>
      </c>
      <c r="D10" s="25">
        <v>10509.429999999998</v>
      </c>
      <c r="E10" s="25">
        <v>11372.44</v>
      </c>
      <c r="F10" s="25">
        <v>9182.7800000000007</v>
      </c>
      <c r="G10" s="25">
        <v>6327.76</v>
      </c>
      <c r="H10" s="25">
        <v>44083.58</v>
      </c>
    </row>
    <row r="11" spans="2:8" x14ac:dyDescent="0.3">
      <c r="B11" s="21" t="s">
        <v>126</v>
      </c>
      <c r="C11" s="25">
        <v>47002.460000000006</v>
      </c>
      <c r="D11" s="25">
        <v>41927.589999999997</v>
      </c>
      <c r="E11" s="25">
        <v>41044</v>
      </c>
      <c r="F11" s="25">
        <v>36612.89</v>
      </c>
      <c r="G11" s="25">
        <v>28630.82</v>
      </c>
      <c r="H11" s="25">
        <v>195217.76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853C-75FC-4ECC-B371-0A10521CD88C}">
  <dimension ref="A4:B44"/>
  <sheetViews>
    <sheetView zoomScale="81" zoomScaleNormal="81" workbookViewId="0">
      <selection activeCell="B10" sqref="B10"/>
    </sheetView>
  </sheetViews>
  <sheetFormatPr defaultRowHeight="14.4" x14ac:dyDescent="0.3"/>
  <cols>
    <col min="1" max="1" width="13.109375" bestFit="1" customWidth="1"/>
    <col min="2" max="2" width="11.6640625" bestFit="1" customWidth="1"/>
  </cols>
  <sheetData>
    <row r="4" spans="1:2" x14ac:dyDescent="0.3">
      <c r="A4" s="20" t="s">
        <v>125</v>
      </c>
      <c r="B4" t="s">
        <v>140</v>
      </c>
    </row>
    <row r="5" spans="1:2" x14ac:dyDescent="0.3">
      <c r="A5" s="21" t="s">
        <v>34</v>
      </c>
      <c r="B5" s="31">
        <v>43468.33</v>
      </c>
    </row>
    <row r="6" spans="1:2" x14ac:dyDescent="0.3">
      <c r="A6" s="21" t="s">
        <v>18</v>
      </c>
      <c r="B6" s="31">
        <v>32441.64</v>
      </c>
    </row>
    <row r="7" spans="1:2" x14ac:dyDescent="0.3">
      <c r="A7" s="21" t="s">
        <v>24</v>
      </c>
      <c r="B7" s="31">
        <v>34975.42</v>
      </c>
    </row>
    <row r="8" spans="1:2" x14ac:dyDescent="0.3">
      <c r="A8" s="21" t="s">
        <v>20</v>
      </c>
      <c r="B8" s="31">
        <v>40248.79</v>
      </c>
    </row>
    <row r="9" spans="1:2" x14ac:dyDescent="0.3">
      <c r="A9" s="21" t="s">
        <v>11</v>
      </c>
      <c r="B9" s="31">
        <v>44083.58</v>
      </c>
    </row>
    <row r="10" spans="1:2" x14ac:dyDescent="0.3">
      <c r="A10" s="21" t="s">
        <v>126</v>
      </c>
      <c r="B10" s="31">
        <v>195217.76</v>
      </c>
    </row>
    <row r="20" spans="1:2" x14ac:dyDescent="0.3">
      <c r="A20" s="20" t="s">
        <v>125</v>
      </c>
      <c r="B20" t="s">
        <v>140</v>
      </c>
    </row>
    <row r="21" spans="1:2" x14ac:dyDescent="0.3">
      <c r="A21" s="21" t="s">
        <v>148</v>
      </c>
      <c r="B21" s="31">
        <v>14914.650000000001</v>
      </c>
    </row>
    <row r="22" spans="1:2" x14ac:dyDescent="0.3">
      <c r="A22" s="21" t="s">
        <v>149</v>
      </c>
      <c r="B22" s="31">
        <v>14006.359999999999</v>
      </c>
    </row>
    <row r="23" spans="1:2" x14ac:dyDescent="0.3">
      <c r="A23" s="21" t="s">
        <v>150</v>
      </c>
      <c r="B23" s="31">
        <v>17655.219999999998</v>
      </c>
    </row>
    <row r="24" spans="1:2" x14ac:dyDescent="0.3">
      <c r="A24" s="21" t="s">
        <v>151</v>
      </c>
      <c r="B24" s="31">
        <v>22242.129999999997</v>
      </c>
    </row>
    <row r="25" spans="1:2" x14ac:dyDescent="0.3">
      <c r="A25" s="21" t="s">
        <v>152</v>
      </c>
      <c r="B25" s="31">
        <v>18507.339999999997</v>
      </c>
    </row>
    <row r="26" spans="1:2" x14ac:dyDescent="0.3">
      <c r="A26" s="21" t="s">
        <v>153</v>
      </c>
      <c r="B26" s="31">
        <v>20187.509999999998</v>
      </c>
    </row>
    <row r="27" spans="1:2" x14ac:dyDescent="0.3">
      <c r="A27" s="21" t="s">
        <v>154</v>
      </c>
      <c r="B27" s="31">
        <v>11609.039999999999</v>
      </c>
    </row>
    <row r="28" spans="1:2" x14ac:dyDescent="0.3">
      <c r="A28" s="21" t="s">
        <v>155</v>
      </c>
      <c r="B28" s="31">
        <v>10091.699999999999</v>
      </c>
    </row>
    <row r="29" spans="1:2" x14ac:dyDescent="0.3">
      <c r="A29" s="21" t="s">
        <v>156</v>
      </c>
      <c r="B29" s="31">
        <v>20533.499999999996</v>
      </c>
    </row>
    <row r="30" spans="1:2" x14ac:dyDescent="0.3">
      <c r="A30" s="21" t="s">
        <v>157</v>
      </c>
      <c r="B30" s="31">
        <v>14215.240000000002</v>
      </c>
    </row>
    <row r="31" spans="1:2" x14ac:dyDescent="0.3">
      <c r="A31" s="21" t="s">
        <v>158</v>
      </c>
      <c r="B31" s="31">
        <v>20135.030000000002</v>
      </c>
    </row>
    <row r="32" spans="1:2" x14ac:dyDescent="0.3">
      <c r="A32" s="21" t="s">
        <v>159</v>
      </c>
      <c r="B32" s="31">
        <v>11120.04</v>
      </c>
    </row>
    <row r="33" spans="1:2" x14ac:dyDescent="0.3">
      <c r="A33" s="21" t="s">
        <v>126</v>
      </c>
      <c r="B33" s="31">
        <v>195217.75999999995</v>
      </c>
    </row>
    <row r="38" spans="1:2" x14ac:dyDescent="0.3">
      <c r="A38" s="20" t="s">
        <v>125</v>
      </c>
      <c r="B38" t="s">
        <v>140</v>
      </c>
    </row>
    <row r="39" spans="1:2" x14ac:dyDescent="0.3">
      <c r="A39" s="21" t="s">
        <v>12</v>
      </c>
      <c r="B39" s="31">
        <v>47002.460000000006</v>
      </c>
    </row>
    <row r="40" spans="1:2" x14ac:dyDescent="0.3">
      <c r="A40" s="21" t="s">
        <v>15</v>
      </c>
      <c r="B40" s="31">
        <v>41927.589999999989</v>
      </c>
    </row>
    <row r="41" spans="1:2" x14ac:dyDescent="0.3">
      <c r="A41" s="21" t="s">
        <v>21</v>
      </c>
      <c r="B41" s="31">
        <v>41044.000000000007</v>
      </c>
    </row>
    <row r="42" spans="1:2" x14ac:dyDescent="0.3">
      <c r="A42" s="21" t="s">
        <v>27</v>
      </c>
      <c r="B42" s="31">
        <v>36612.89</v>
      </c>
    </row>
    <row r="43" spans="1:2" x14ac:dyDescent="0.3">
      <c r="A43" s="21" t="s">
        <v>39</v>
      </c>
      <c r="B43" s="31">
        <v>28630.819999999992</v>
      </c>
    </row>
    <row r="44" spans="1:2" x14ac:dyDescent="0.3">
      <c r="A44" s="21" t="s">
        <v>126</v>
      </c>
      <c r="B44" s="31">
        <v>195217.76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820D-6B28-4886-82B1-ABAE355B9DEB}">
  <dimension ref="A1"/>
  <sheetViews>
    <sheetView tabSelected="1" zoomScale="102" zoomScaleNormal="102" workbookViewId="0">
      <selection activeCell="Y9" sqref="Y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Q-1 Conditional Formating</vt:lpstr>
      <vt:lpstr>Q-2 What if analysis</vt:lpstr>
      <vt:lpstr>Q-3 Linear Regression</vt:lpstr>
      <vt:lpstr>Q-4 Descriptive Statistics</vt:lpstr>
      <vt:lpstr>Q-5 Monthly Sales Growth</vt:lpstr>
      <vt:lpstr>Q-6 Now()</vt:lpstr>
      <vt:lpstr>Q-7 High Value Customer</vt:lpstr>
      <vt:lpstr>Q-8 Pivot Table</vt:lpstr>
      <vt:lpstr>Q-9 Pivot Chart</vt:lpstr>
      <vt:lpstr>Q-10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kripal prajapti</dc:creator>
  <cp:lastModifiedBy>kripal prajapti</cp:lastModifiedBy>
  <dcterms:created xsi:type="dcterms:W3CDTF">2026-04-02T16:10:13Z</dcterms:created>
  <dcterms:modified xsi:type="dcterms:W3CDTF">2026-04-03T14:04:08Z</dcterms:modified>
</cp:coreProperties>
</file>